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X:\MANUTENÇÃO 2026\PLANILHAS DE GERENCIAMENTO DA MANUTEÇÃO\ENERGIA ELÉTRICA E ÁGUA\"/>
    </mc:Choice>
  </mc:AlternateContent>
  <xr:revisionPtr revIDLastSave="0" documentId="13_ncr:1_{4DCEB99F-6D73-4AA3-B460-17555C6EFB73}" xr6:coauthVersionLast="47" xr6:coauthVersionMax="47" xr10:uidLastSave="{00000000-0000-0000-0000-000000000000}"/>
  <bookViews>
    <workbookView xWindow="-120" yWindow="-120" windowWidth="29040" windowHeight="15720" tabRatio="589" activeTab="2" xr2:uid="{00000000-000D-0000-FFFF-FFFF00000000}"/>
  </bookViews>
  <sheets>
    <sheet name="ANÁLISE CONSUMO" sheetId="9" r:id="rId1"/>
    <sheet name="Planilha1" sheetId="10" r:id="rId2"/>
    <sheet name="ENERGIA 2026- LIVRE (TESTE WEL)" sheetId="14" r:id="rId3"/>
    <sheet name="ENERGIA 2026- LIVRE" sheetId="11" r:id="rId4"/>
    <sheet name="painel" sheetId="12" r:id="rId5"/>
    <sheet name="ÁGUA 2026" sheetId="8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4" l="1"/>
  <c r="R7" i="11"/>
  <c r="J16" i="11"/>
  <c r="E22" i="11"/>
  <c r="T16" i="14"/>
  <c r="T7" i="14"/>
  <c r="M25" i="14"/>
  <c r="M16" i="14"/>
  <c r="M7" i="14"/>
  <c r="F25" i="14"/>
  <c r="F16" i="14"/>
  <c r="F7" i="14"/>
  <c r="N41" i="14"/>
  <c r="O41" i="14" s="1"/>
  <c r="M40" i="14"/>
  <c r="L40" i="14"/>
  <c r="K40" i="14"/>
  <c r="J40" i="14"/>
  <c r="I40" i="14"/>
  <c r="H40" i="14"/>
  <c r="G40" i="14"/>
  <c r="E40" i="14"/>
  <c r="D40" i="14"/>
  <c r="C40" i="14"/>
  <c r="B40" i="14"/>
  <c r="Y25" i="14"/>
  <c r="X25" i="14"/>
  <c r="W25" i="14"/>
  <c r="R25" i="14"/>
  <c r="Q25" i="14"/>
  <c r="P25" i="14"/>
  <c r="K25" i="14"/>
  <c r="J25" i="14"/>
  <c r="I25" i="14"/>
  <c r="B25" i="14"/>
  <c r="Z24" i="14"/>
  <c r="M32" i="14" s="1"/>
  <c r="S24" i="14"/>
  <c r="J32" i="14" s="1"/>
  <c r="L24" i="14"/>
  <c r="G32" i="14" s="1"/>
  <c r="E24" i="14"/>
  <c r="D32" i="14" s="1"/>
  <c r="Z23" i="14"/>
  <c r="S23" i="14"/>
  <c r="J31" i="14" s="1"/>
  <c r="L23" i="14"/>
  <c r="G31" i="14" s="1"/>
  <c r="Z22" i="14"/>
  <c r="M35" i="14" s="1"/>
  <c r="S22" i="14"/>
  <c r="J33" i="14" s="1"/>
  <c r="G35" i="14"/>
  <c r="L22" i="14"/>
  <c r="G33" i="14" s="1"/>
  <c r="D35" i="14"/>
  <c r="Y16" i="14"/>
  <c r="X16" i="14"/>
  <c r="W16" i="14"/>
  <c r="Z16" i="14" s="1"/>
  <c r="R16" i="14"/>
  <c r="Q16" i="14"/>
  <c r="P16" i="14"/>
  <c r="S16" i="14" s="1"/>
  <c r="I16" i="14"/>
  <c r="B16" i="14"/>
  <c r="Z15" i="14"/>
  <c r="L32" i="14" s="1"/>
  <c r="S15" i="14"/>
  <c r="I32" i="14" s="1"/>
  <c r="L15" i="14"/>
  <c r="F32" i="14" s="1"/>
  <c r="Z14" i="14"/>
  <c r="S14" i="14"/>
  <c r="I31" i="14" s="1"/>
  <c r="E14" i="14"/>
  <c r="C31" i="14" s="1"/>
  <c r="Z13" i="14"/>
  <c r="L33" i="14" s="1"/>
  <c r="I35" i="14"/>
  <c r="S13" i="14"/>
  <c r="I33" i="14" s="1"/>
  <c r="C35" i="14"/>
  <c r="D16" i="14"/>
  <c r="Y7" i="14"/>
  <c r="X7" i="14"/>
  <c r="W7" i="14"/>
  <c r="R7" i="14"/>
  <c r="Q7" i="14"/>
  <c r="P7" i="14"/>
  <c r="I7" i="14"/>
  <c r="C7" i="14"/>
  <c r="B7" i="14"/>
  <c r="Z6" i="14"/>
  <c r="S6" i="14"/>
  <c r="H32" i="14" s="1"/>
  <c r="L6" i="14"/>
  <c r="E32" i="14" s="1"/>
  <c r="E6" i="14"/>
  <c r="Z5" i="14"/>
  <c r="S5" i="14"/>
  <c r="H31" i="14" s="1"/>
  <c r="E5" i="14"/>
  <c r="Z4" i="14"/>
  <c r="H35" i="14"/>
  <c r="S4" i="14"/>
  <c r="H33" i="14" s="1"/>
  <c r="E35" i="14"/>
  <c r="B35" i="14"/>
  <c r="N35" i="14" s="1"/>
  <c r="O35" i="14" s="1"/>
  <c r="F17" i="11"/>
  <c r="E14" i="11"/>
  <c r="E13" i="11"/>
  <c r="C7" i="11"/>
  <c r="C16" i="11"/>
  <c r="K14" i="8"/>
  <c r="E4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J35" i="14" l="1"/>
  <c r="I38" i="14"/>
  <c r="T17" i="14"/>
  <c r="B32" i="11"/>
  <c r="K7" i="14"/>
  <c r="K16" i="14"/>
  <c r="D7" i="14"/>
  <c r="E7" i="14" s="1"/>
  <c r="F8" i="14" s="1"/>
  <c r="M33" i="14"/>
  <c r="Z25" i="14"/>
  <c r="M38" i="14" s="1"/>
  <c r="J7" i="14"/>
  <c r="L7" i="14" s="1"/>
  <c r="E23" i="14"/>
  <c r="D31" i="14" s="1"/>
  <c r="M31" i="14"/>
  <c r="M34" i="14" s="1"/>
  <c r="M39" i="14" s="1"/>
  <c r="M42" i="14" s="1"/>
  <c r="Z7" i="14"/>
  <c r="K35" i="14" s="1"/>
  <c r="E22" i="14"/>
  <c r="D33" i="14" s="1"/>
  <c r="L14" i="14"/>
  <c r="F31" i="14" s="1"/>
  <c r="L5" i="14"/>
  <c r="E31" i="14" s="1"/>
  <c r="C16" i="14"/>
  <c r="E16" i="14" s="1"/>
  <c r="F17" i="14" s="1"/>
  <c r="L4" i="14"/>
  <c r="E33" i="14" s="1"/>
  <c r="D25" i="14"/>
  <c r="J34" i="14"/>
  <c r="J39" i="14" s="1"/>
  <c r="J42" i="14" s="1"/>
  <c r="J16" i="14"/>
  <c r="L16" i="14" s="1"/>
  <c r="M17" i="14" s="1"/>
  <c r="L25" i="14"/>
  <c r="S7" i="14"/>
  <c r="S25" i="14"/>
  <c r="T26" i="14" s="1"/>
  <c r="G34" i="14"/>
  <c r="G39" i="14" s="1"/>
  <c r="G42" i="14" s="1"/>
  <c r="H34" i="14"/>
  <c r="H39" i="14" s="1"/>
  <c r="H42" i="14"/>
  <c r="I34" i="14"/>
  <c r="I39" i="14" s="1"/>
  <c r="I42" i="14" s="1"/>
  <c r="B31" i="14"/>
  <c r="L35" i="14"/>
  <c r="L38" i="14"/>
  <c r="B32" i="14"/>
  <c r="E13" i="14"/>
  <c r="C33" i="14" s="1"/>
  <c r="E15" i="14"/>
  <c r="C32" i="14" s="1"/>
  <c r="C34" i="14" s="1"/>
  <c r="C39" i="14" s="1"/>
  <c r="C42" i="14" s="1"/>
  <c r="E4" i="14"/>
  <c r="C25" i="14"/>
  <c r="E25" i="14" s="1"/>
  <c r="L13" i="14"/>
  <c r="F33" i="14" s="1"/>
  <c r="K31" i="14"/>
  <c r="L31" i="14"/>
  <c r="L34" i="14" s="1"/>
  <c r="L39" i="14" s="1"/>
  <c r="L42" i="14" s="1"/>
  <c r="K32" i="14"/>
  <c r="K33" i="14"/>
  <c r="N40" i="14"/>
  <c r="N39" i="11"/>
  <c r="O39" i="11" s="1"/>
  <c r="E6" i="11"/>
  <c r="F34" i="14" l="1"/>
  <c r="H38" i="14"/>
  <c r="T8" i="14"/>
  <c r="J38" i="14"/>
  <c r="G38" i="14"/>
  <c r="M26" i="14"/>
  <c r="E38" i="14"/>
  <c r="M8" i="14"/>
  <c r="D38" i="14"/>
  <c r="F26" i="14"/>
  <c r="B31" i="11"/>
  <c r="C38" i="14"/>
  <c r="E34" i="14"/>
  <c r="E39" i="14" s="1"/>
  <c r="E42" i="14" s="1"/>
  <c r="D34" i="14"/>
  <c r="D39" i="14" s="1"/>
  <c r="D42" i="14" s="1"/>
  <c r="K38" i="14"/>
  <c r="O40" i="14"/>
  <c r="K34" i="14"/>
  <c r="K39" i="14" s="1"/>
  <c r="K42" i="14" s="1"/>
  <c r="O32" i="14"/>
  <c r="N32" i="14"/>
  <c r="B38" i="14"/>
  <c r="B33" i="14"/>
  <c r="B34" i="14" s="1"/>
  <c r="O31" i="14"/>
  <c r="N31" i="14"/>
  <c r="N40" i="11"/>
  <c r="O40" i="11" s="1"/>
  <c r="Y25" i="11"/>
  <c r="X25" i="11"/>
  <c r="W25" i="11"/>
  <c r="Z25" i="11" s="1"/>
  <c r="M37" i="11" s="1"/>
  <c r="R25" i="11"/>
  <c r="Q25" i="11"/>
  <c r="P25" i="11"/>
  <c r="S25" i="11" s="1"/>
  <c r="K25" i="11"/>
  <c r="J25" i="11"/>
  <c r="I25" i="11"/>
  <c r="D25" i="11"/>
  <c r="C25" i="11"/>
  <c r="B25" i="11"/>
  <c r="E25" i="11" s="1"/>
  <c r="D37" i="11" s="1"/>
  <c r="Z24" i="11"/>
  <c r="S24" i="11"/>
  <c r="J31" i="11" s="1"/>
  <c r="L24" i="11"/>
  <c r="G31" i="11" s="1"/>
  <c r="E24" i="11"/>
  <c r="D31" i="11" s="1"/>
  <c r="Z23" i="11"/>
  <c r="M30" i="11" s="1"/>
  <c r="S23" i="11"/>
  <c r="J30" i="11" s="1"/>
  <c r="L23" i="11"/>
  <c r="G30" i="11" s="1"/>
  <c r="E23" i="11"/>
  <c r="D30" i="11" s="1"/>
  <c r="Z22" i="11"/>
  <c r="M32" i="11" s="1"/>
  <c r="S22" i="11"/>
  <c r="J32" i="11" s="1"/>
  <c r="L22" i="11"/>
  <c r="G32" i="11" s="1"/>
  <c r="D32" i="11"/>
  <c r="Y16" i="11"/>
  <c r="X16" i="11"/>
  <c r="W16" i="11"/>
  <c r="R16" i="11"/>
  <c r="Q16" i="11"/>
  <c r="P16" i="11"/>
  <c r="S16" i="11" s="1"/>
  <c r="I37" i="11" s="1"/>
  <c r="K16" i="11"/>
  <c r="I16" i="11"/>
  <c r="L16" i="11" s="1"/>
  <c r="F37" i="11" s="1"/>
  <c r="D16" i="11"/>
  <c r="B16" i="11"/>
  <c r="Z15" i="11"/>
  <c r="L31" i="11" s="1"/>
  <c r="S15" i="11"/>
  <c r="I31" i="11" s="1"/>
  <c r="L15" i="11"/>
  <c r="F31" i="11" s="1"/>
  <c r="E15" i="11"/>
  <c r="C31" i="11" s="1"/>
  <c r="Z14" i="11"/>
  <c r="L30" i="11" s="1"/>
  <c r="S14" i="11"/>
  <c r="I30" i="11" s="1"/>
  <c r="L14" i="11"/>
  <c r="F30" i="11" s="1"/>
  <c r="C30" i="11"/>
  <c r="Z13" i="11"/>
  <c r="L32" i="11" s="1"/>
  <c r="S13" i="11"/>
  <c r="I32" i="11" s="1"/>
  <c r="L13" i="11"/>
  <c r="F32" i="11" s="1"/>
  <c r="C32" i="11"/>
  <c r="C33" i="11" s="1"/>
  <c r="Y7" i="11"/>
  <c r="X7" i="11"/>
  <c r="W7" i="11"/>
  <c r="Q7" i="11"/>
  <c r="P7" i="11"/>
  <c r="S7" i="11" s="1"/>
  <c r="H37" i="11" s="1"/>
  <c r="K7" i="11"/>
  <c r="J7" i="11"/>
  <c r="I7" i="11"/>
  <c r="D7" i="11"/>
  <c r="B7" i="11"/>
  <c r="Z6" i="11"/>
  <c r="K31" i="11" s="1"/>
  <c r="S6" i="11"/>
  <c r="H31" i="11" s="1"/>
  <c r="L6" i="11"/>
  <c r="E31" i="11" s="1"/>
  <c r="Z5" i="11"/>
  <c r="S5" i="11"/>
  <c r="H30" i="11" s="1"/>
  <c r="L5" i="11"/>
  <c r="E30" i="11" s="1"/>
  <c r="E5" i="11"/>
  <c r="B30" i="11" s="1"/>
  <c r="Z4" i="11"/>
  <c r="K32" i="11" s="1"/>
  <c r="S4" i="11"/>
  <c r="H32" i="11" s="1"/>
  <c r="L4" i="11"/>
  <c r="E32" i="11" s="1"/>
  <c r="E48" i="11" l="1"/>
  <c r="E47" i="11"/>
  <c r="F48" i="11"/>
  <c r="F47" i="11"/>
  <c r="D48" i="11"/>
  <c r="D47" i="11"/>
  <c r="N34" i="14"/>
  <c r="N39" i="14" s="1"/>
  <c r="B39" i="14"/>
  <c r="B42" i="14" s="1"/>
  <c r="O33" i="14"/>
  <c r="O34" i="14" s="1"/>
  <c r="N33" i="14"/>
  <c r="N38" i="14" s="1"/>
  <c r="O38" i="14" s="1"/>
  <c r="K30" i="11"/>
  <c r="J37" i="11"/>
  <c r="M31" i="11"/>
  <c r="M33" i="11" s="1"/>
  <c r="M38" i="11" s="1"/>
  <c r="M41" i="11" s="1"/>
  <c r="Z16" i="11"/>
  <c r="K33" i="11"/>
  <c r="K38" i="11" s="1"/>
  <c r="K41" i="11" s="1"/>
  <c r="Z7" i="11"/>
  <c r="L25" i="11"/>
  <c r="G37" i="11" s="1"/>
  <c r="L7" i="11"/>
  <c r="E37" i="11" s="1"/>
  <c r="E16" i="11"/>
  <c r="C37" i="11" s="1"/>
  <c r="E7" i="11"/>
  <c r="H33" i="11"/>
  <c r="H38" i="11" s="1"/>
  <c r="H41" i="11" s="1"/>
  <c r="J33" i="11"/>
  <c r="J38" i="11" s="1"/>
  <c r="J41" i="11" s="1"/>
  <c r="O31" i="11"/>
  <c r="N31" i="11"/>
  <c r="L33" i="11"/>
  <c r="L38" i="11" s="1"/>
  <c r="L41" i="11" s="1"/>
  <c r="D33" i="11"/>
  <c r="D38" i="11" s="1"/>
  <c r="D41" i="11" s="1"/>
  <c r="E33" i="11"/>
  <c r="E38" i="11" s="1"/>
  <c r="E41" i="11" s="1"/>
  <c r="I33" i="11"/>
  <c r="I38" i="11" s="1"/>
  <c r="I41" i="11" s="1"/>
  <c r="C38" i="11"/>
  <c r="C41" i="11" s="1"/>
  <c r="N32" i="11"/>
  <c r="N37" i="11" s="1"/>
  <c r="O37" i="11" s="1"/>
  <c r="O32" i="11"/>
  <c r="N30" i="11"/>
  <c r="B33" i="11"/>
  <c r="B38" i="11" s="1"/>
  <c r="B41" i="11" s="1"/>
  <c r="O30" i="11"/>
  <c r="F33" i="11"/>
  <c r="F38" i="11" s="1"/>
  <c r="F41" i="11" s="1"/>
  <c r="G33" i="11"/>
  <c r="G38" i="11" s="1"/>
  <c r="G41" i="11" s="1"/>
  <c r="M31" i="10"/>
  <c r="M30" i="10"/>
  <c r="M29" i="10"/>
  <c r="M32" i="10" s="1"/>
  <c r="M24" i="10"/>
  <c r="M23" i="10"/>
  <c r="M22" i="10"/>
  <c r="B37" i="11" l="1"/>
  <c r="L34" i="11"/>
  <c r="L37" i="11"/>
  <c r="K34" i="11"/>
  <c r="K37" i="11"/>
  <c r="O39" i="14"/>
  <c r="N42" i="14"/>
  <c r="O33" i="11"/>
  <c r="N33" i="11"/>
  <c r="N38" i="11" s="1"/>
  <c r="M25" i="10"/>
  <c r="M35" i="10" s="1"/>
  <c r="J35" i="9"/>
  <c r="N41" i="11" l="1"/>
  <c r="O38" i="11"/>
  <c r="M36" i="10"/>
  <c r="M37" i="10" s="1"/>
  <c r="Q4" i="8" l="1"/>
  <c r="Q5" i="8"/>
  <c r="Q6" i="8"/>
  <c r="Q3" i="8"/>
  <c r="Q10" i="8"/>
  <c r="Q11" i="8"/>
  <c r="Q12" i="8"/>
  <c r="Q13" i="8"/>
  <c r="M56" i="9" l="1"/>
  <c r="L56" i="9"/>
  <c r="K56" i="9"/>
  <c r="J56" i="9"/>
  <c r="I56" i="9"/>
  <c r="H56" i="9"/>
  <c r="G56" i="9"/>
  <c r="F56" i="9"/>
  <c r="E56" i="9"/>
  <c r="D56" i="9"/>
  <c r="C56" i="9"/>
  <c r="C55" i="9"/>
  <c r="B56" i="9"/>
  <c r="M55" i="9"/>
  <c r="L55" i="9"/>
  <c r="K55" i="9"/>
  <c r="J55" i="9"/>
  <c r="I55" i="9"/>
  <c r="H55" i="9"/>
  <c r="G55" i="9"/>
  <c r="F55" i="9"/>
  <c r="E55" i="9"/>
  <c r="D55" i="9"/>
  <c r="B55" i="9"/>
  <c r="M46" i="9"/>
  <c r="L46" i="9"/>
  <c r="K46" i="9"/>
  <c r="J46" i="9"/>
  <c r="I46" i="9"/>
  <c r="H46" i="9"/>
  <c r="G46" i="9"/>
  <c r="F46" i="9"/>
  <c r="E46" i="9"/>
  <c r="D46" i="9"/>
  <c r="C46" i="9"/>
  <c r="B46" i="9"/>
  <c r="M45" i="9"/>
  <c r="L45" i="9"/>
  <c r="K45" i="9"/>
  <c r="J45" i="9"/>
  <c r="I45" i="9"/>
  <c r="H45" i="9"/>
  <c r="G45" i="9"/>
  <c r="F45" i="9"/>
  <c r="E45" i="9"/>
  <c r="D45" i="9"/>
  <c r="C45" i="9"/>
  <c r="B45" i="9"/>
  <c r="M36" i="9" l="1"/>
  <c r="L36" i="9"/>
  <c r="K36" i="9"/>
  <c r="J36" i="9"/>
  <c r="I36" i="9"/>
  <c r="H36" i="9"/>
  <c r="G36" i="9"/>
  <c r="F36" i="9"/>
  <c r="E36" i="9"/>
  <c r="D36" i="9"/>
  <c r="C36" i="9"/>
  <c r="B36" i="9"/>
  <c r="M35" i="9"/>
  <c r="L35" i="9"/>
  <c r="K35" i="9"/>
  <c r="I35" i="9"/>
  <c r="H35" i="9"/>
  <c r="G35" i="9"/>
  <c r="F35" i="9"/>
  <c r="E35" i="9"/>
  <c r="D35" i="9"/>
  <c r="C35" i="9"/>
  <c r="B35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M19" i="9"/>
  <c r="L19" i="9"/>
  <c r="K19" i="9"/>
  <c r="J19" i="9"/>
  <c r="I19" i="9"/>
  <c r="H19" i="9"/>
  <c r="G19" i="9"/>
  <c r="F19" i="9"/>
  <c r="E19" i="9"/>
  <c r="D19" i="9"/>
  <c r="C19" i="9"/>
  <c r="B19" i="9"/>
  <c r="L10" i="9" l="1"/>
  <c r="L29" i="10" s="1"/>
  <c r="M5" i="9"/>
  <c r="L5" i="9"/>
  <c r="K5" i="9"/>
  <c r="J5" i="9"/>
  <c r="I5" i="9"/>
  <c r="H5" i="9"/>
  <c r="G5" i="9"/>
  <c r="F5" i="9"/>
  <c r="E5" i="9"/>
  <c r="D5" i="9"/>
  <c r="C5" i="9"/>
  <c r="B5" i="9"/>
  <c r="M4" i="9"/>
  <c r="L4" i="9"/>
  <c r="K4" i="9"/>
  <c r="J4" i="9"/>
  <c r="I4" i="9"/>
  <c r="H4" i="9"/>
  <c r="G4" i="9"/>
  <c r="B4" i="9"/>
  <c r="F4" i="9" l="1"/>
  <c r="E4" i="9"/>
  <c r="D4" i="9"/>
  <c r="C4" i="9"/>
  <c r="M3" i="9"/>
  <c r="M6" i="9" s="1"/>
  <c r="L3" i="9"/>
  <c r="L6" i="9" s="1"/>
  <c r="K3" i="9"/>
  <c r="J3" i="9"/>
  <c r="I3" i="9"/>
  <c r="H3" i="9"/>
  <c r="G3" i="9"/>
  <c r="F3" i="9"/>
  <c r="E3" i="9"/>
  <c r="D3" i="9"/>
  <c r="C3" i="9"/>
  <c r="B3" i="9"/>
  <c r="L22" i="9"/>
  <c r="M22" i="9"/>
  <c r="C22" i="9" l="1"/>
  <c r="D22" i="9"/>
  <c r="E22" i="9"/>
  <c r="F22" i="9"/>
  <c r="G22" i="9"/>
  <c r="H22" i="9"/>
  <c r="I22" i="9"/>
  <c r="J22" i="9"/>
  <c r="K22" i="9"/>
  <c r="B22" i="9"/>
  <c r="C6" i="9"/>
  <c r="D6" i="9"/>
  <c r="E6" i="9"/>
  <c r="F6" i="9"/>
  <c r="G6" i="9"/>
  <c r="H6" i="9"/>
  <c r="I6" i="9"/>
  <c r="J6" i="9"/>
  <c r="K6" i="9"/>
  <c r="B6" i="9"/>
  <c r="L28" i="9" l="1"/>
  <c r="L24" i="10" s="1"/>
  <c r="L12" i="9"/>
  <c r="L31" i="10" s="1"/>
  <c r="L59" i="9"/>
  <c r="L58" i="9"/>
  <c r="L27" i="9"/>
  <c r="L23" i="10" s="1"/>
  <c r="L11" i="9"/>
  <c r="L30" i="10" s="1"/>
  <c r="L32" i="10" s="1"/>
  <c r="L49" i="9"/>
  <c r="L48" i="9"/>
  <c r="L26" i="9"/>
  <c r="L22" i="10" s="1"/>
  <c r="L25" i="10" s="1"/>
  <c r="L35" i="10" s="1"/>
  <c r="L39" i="9"/>
  <c r="L38" i="9"/>
  <c r="K28" i="9"/>
  <c r="K24" i="10" s="1"/>
  <c r="K12" i="9"/>
  <c r="K31" i="10" s="1"/>
  <c r="K59" i="9"/>
  <c r="K58" i="9"/>
  <c r="K27" i="9"/>
  <c r="K23" i="10" s="1"/>
  <c r="K11" i="9"/>
  <c r="K30" i="10" s="1"/>
  <c r="K49" i="9"/>
  <c r="K48" i="9"/>
  <c r="K26" i="9"/>
  <c r="K22" i="10" s="1"/>
  <c r="K25" i="10" s="1"/>
  <c r="K10" i="9"/>
  <c r="K29" i="10" s="1"/>
  <c r="K32" i="10" s="1"/>
  <c r="K35" i="10" s="1"/>
  <c r="K39" i="9"/>
  <c r="K38" i="9"/>
  <c r="K36" i="10" l="1"/>
  <c r="K37" i="10"/>
  <c r="K44" i="10" s="1"/>
  <c r="L36" i="10"/>
  <c r="L37" i="10"/>
  <c r="L44" i="10" s="1"/>
  <c r="L40" i="9"/>
  <c r="L3" i="10" s="1"/>
  <c r="K40" i="9"/>
  <c r="K3" i="10" s="1"/>
  <c r="K13" i="9"/>
  <c r="K50" i="9"/>
  <c r="K4" i="10" s="1"/>
  <c r="K12" i="10" s="1"/>
  <c r="K60" i="9"/>
  <c r="L60" i="9"/>
  <c r="K29" i="9"/>
  <c r="L29" i="9"/>
  <c r="L13" i="9"/>
  <c r="L50" i="9"/>
  <c r="L4" i="10" s="1"/>
  <c r="L12" i="10" s="1"/>
  <c r="J28" i="9"/>
  <c r="J24" i="10" s="1"/>
  <c r="J12" i="9"/>
  <c r="J31" i="10" s="1"/>
  <c r="J59" i="9"/>
  <c r="J58" i="9"/>
  <c r="J27" i="9"/>
  <c r="J23" i="10" s="1"/>
  <c r="J11" i="9"/>
  <c r="J30" i="10" s="1"/>
  <c r="J49" i="9"/>
  <c r="J48" i="9"/>
  <c r="J26" i="9"/>
  <c r="J22" i="10" s="1"/>
  <c r="J25" i="10" s="1"/>
  <c r="J10" i="9"/>
  <c r="J29" i="10" s="1"/>
  <c r="J39" i="9"/>
  <c r="J38" i="9"/>
  <c r="I28" i="9"/>
  <c r="I24" i="10" s="1"/>
  <c r="I12" i="9"/>
  <c r="I31" i="10" s="1"/>
  <c r="I59" i="9"/>
  <c r="I58" i="9"/>
  <c r="I27" i="9"/>
  <c r="I23" i="10" s="1"/>
  <c r="I11" i="9"/>
  <c r="I30" i="10" s="1"/>
  <c r="I49" i="9"/>
  <c r="I48" i="9"/>
  <c r="I26" i="9"/>
  <c r="I22" i="10" s="1"/>
  <c r="I25" i="10" s="1"/>
  <c r="I10" i="9"/>
  <c r="I29" i="10" s="1"/>
  <c r="I32" i="10" s="1"/>
  <c r="I35" i="10" s="1"/>
  <c r="I39" i="9"/>
  <c r="I38" i="9"/>
  <c r="I36" i="10" l="1"/>
  <c r="I37" i="10"/>
  <c r="I44" i="10" s="1"/>
  <c r="J32" i="10"/>
  <c r="J35" i="10" s="1"/>
  <c r="K11" i="10"/>
  <c r="K5" i="10"/>
  <c r="K13" i="10" s="1"/>
  <c r="K6" i="10"/>
  <c r="L11" i="10"/>
  <c r="L5" i="10"/>
  <c r="L62" i="9"/>
  <c r="K62" i="9"/>
  <c r="J50" i="9"/>
  <c r="J4" i="10" s="1"/>
  <c r="J12" i="10" s="1"/>
  <c r="I40" i="9"/>
  <c r="I3" i="10" s="1"/>
  <c r="I13" i="9"/>
  <c r="I50" i="9"/>
  <c r="I4" i="10" s="1"/>
  <c r="I12" i="10" s="1"/>
  <c r="I29" i="9"/>
  <c r="I60" i="9"/>
  <c r="J60" i="9"/>
  <c r="J13" i="9"/>
  <c r="J29" i="9"/>
  <c r="J40" i="9"/>
  <c r="J3" i="10" s="1"/>
  <c r="H28" i="9"/>
  <c r="H24" i="10" s="1"/>
  <c r="H12" i="9"/>
  <c r="H31" i="10" s="1"/>
  <c r="H59" i="9"/>
  <c r="H58" i="9"/>
  <c r="H27" i="9"/>
  <c r="H23" i="10" s="1"/>
  <c r="H11" i="9"/>
  <c r="H30" i="10" s="1"/>
  <c r="H49" i="9"/>
  <c r="H48" i="9"/>
  <c r="J5" i="10" l="1"/>
  <c r="J11" i="10"/>
  <c r="I11" i="10"/>
  <c r="I5" i="10"/>
  <c r="I13" i="10" s="1"/>
  <c r="I6" i="10"/>
  <c r="L13" i="10"/>
  <c r="L6" i="10"/>
  <c r="L14" i="10"/>
  <c r="L43" i="10" s="1"/>
  <c r="L45" i="10" s="1"/>
  <c r="K14" i="10"/>
  <c r="K43" i="10" s="1"/>
  <c r="K45" i="10" s="1"/>
  <c r="J36" i="10"/>
  <c r="J37" i="10"/>
  <c r="J44" i="10" s="1"/>
  <c r="J62" i="9"/>
  <c r="I62" i="9"/>
  <c r="H60" i="9"/>
  <c r="H50" i="9"/>
  <c r="H4" i="10" s="1"/>
  <c r="H12" i="10" s="1"/>
  <c r="H26" i="9"/>
  <c r="H10" i="9"/>
  <c r="H39" i="9"/>
  <c r="H38" i="9"/>
  <c r="H13" i="9" l="1"/>
  <c r="H29" i="10"/>
  <c r="H32" i="10" s="1"/>
  <c r="H29" i="9"/>
  <c r="H22" i="10"/>
  <c r="H25" i="10" s="1"/>
  <c r="H35" i="10" s="1"/>
  <c r="I14" i="10"/>
  <c r="I43" i="10" s="1"/>
  <c r="I45" i="10" s="1"/>
  <c r="J13" i="10"/>
  <c r="J14" i="10" s="1"/>
  <c r="J43" i="10" s="1"/>
  <c r="J45" i="10" s="1"/>
  <c r="J6" i="10"/>
  <c r="H40" i="9"/>
  <c r="G28" i="9"/>
  <c r="G24" i="10" s="1"/>
  <c r="G12" i="9"/>
  <c r="G31" i="10" s="1"/>
  <c r="G59" i="9"/>
  <c r="G58" i="9"/>
  <c r="H62" i="9" l="1"/>
  <c r="H3" i="10"/>
  <c r="H36" i="10"/>
  <c r="H37" i="10"/>
  <c r="H44" i="10" s="1"/>
  <c r="G60" i="9"/>
  <c r="G27" i="9"/>
  <c r="G23" i="10" s="1"/>
  <c r="G11" i="9"/>
  <c r="G30" i="10" s="1"/>
  <c r="G49" i="9"/>
  <c r="G48" i="9"/>
  <c r="G26" i="9"/>
  <c r="G10" i="9"/>
  <c r="G29" i="10" s="1"/>
  <c r="G32" i="10" s="1"/>
  <c r="G39" i="9"/>
  <c r="G38" i="9"/>
  <c r="G29" i="9" l="1"/>
  <c r="G22" i="10"/>
  <c r="G25" i="10" s="1"/>
  <c r="G35" i="10" s="1"/>
  <c r="H11" i="10"/>
  <c r="H5" i="10"/>
  <c r="G50" i="9"/>
  <c r="G4" i="10" s="1"/>
  <c r="G12" i="10" s="1"/>
  <c r="G13" i="9"/>
  <c r="G40" i="9"/>
  <c r="F28" i="9"/>
  <c r="F24" i="10" s="1"/>
  <c r="F12" i="9"/>
  <c r="F31" i="10" s="1"/>
  <c r="F59" i="9"/>
  <c r="F58" i="9"/>
  <c r="F26" i="9"/>
  <c r="F22" i="10" s="1"/>
  <c r="F10" i="9"/>
  <c r="F29" i="10" s="1"/>
  <c r="F39" i="9"/>
  <c r="F38" i="9"/>
  <c r="F27" i="9"/>
  <c r="F23" i="10" s="1"/>
  <c r="F11" i="9"/>
  <c r="F30" i="10" s="1"/>
  <c r="F49" i="9"/>
  <c r="F48" i="9"/>
  <c r="F32" i="10" l="1"/>
  <c r="F25" i="10"/>
  <c r="F35" i="10" s="1"/>
  <c r="G62" i="9"/>
  <c r="G3" i="10"/>
  <c r="H13" i="10"/>
  <c r="H6" i="10"/>
  <c r="H14" i="10"/>
  <c r="H43" i="10" s="1"/>
  <c r="H45" i="10" s="1"/>
  <c r="G36" i="10"/>
  <c r="G37" i="10"/>
  <c r="G44" i="10" s="1"/>
  <c r="F60" i="9"/>
  <c r="F50" i="9"/>
  <c r="F4" i="10" s="1"/>
  <c r="F12" i="10" s="1"/>
  <c r="F40" i="9"/>
  <c r="F13" i="9"/>
  <c r="F29" i="9"/>
  <c r="F62" i="9" l="1"/>
  <c r="F3" i="10"/>
  <c r="G11" i="10"/>
  <c r="G5" i="10"/>
  <c r="G13" i="10" s="1"/>
  <c r="G6" i="10"/>
  <c r="F36" i="10"/>
  <c r="F37" i="10"/>
  <c r="F44" i="10" s="1"/>
  <c r="E28" i="9"/>
  <c r="E24" i="10" s="1"/>
  <c r="E12" i="9"/>
  <c r="E31" i="10" s="1"/>
  <c r="E59" i="9"/>
  <c r="E58" i="9"/>
  <c r="G14" i="10" l="1"/>
  <c r="G43" i="10" s="1"/>
  <c r="G45" i="10" s="1"/>
  <c r="F5" i="10"/>
  <c r="F11" i="10"/>
  <c r="E60" i="9"/>
  <c r="F13" i="10" l="1"/>
  <c r="F14" i="10" s="1"/>
  <c r="F43" i="10" s="1"/>
  <c r="F45" i="10" s="1"/>
  <c r="F6" i="10"/>
  <c r="E27" i="9"/>
  <c r="E23" i="10" s="1"/>
  <c r="E11" i="9"/>
  <c r="E30" i="10" s="1"/>
  <c r="E49" i="9"/>
  <c r="E48" i="9"/>
  <c r="E26" i="9"/>
  <c r="E10" i="9"/>
  <c r="E29" i="10" s="1"/>
  <c r="E32" i="10" s="1"/>
  <c r="E39" i="9"/>
  <c r="E38" i="9"/>
  <c r="D38" i="9"/>
  <c r="E29" i="9" l="1"/>
  <c r="E22" i="10"/>
  <c r="E25" i="10" s="1"/>
  <c r="E35" i="10" s="1"/>
  <c r="E50" i="9"/>
  <c r="E4" i="10" s="1"/>
  <c r="E12" i="10" s="1"/>
  <c r="E13" i="9"/>
  <c r="E40" i="9"/>
  <c r="C28" i="9"/>
  <c r="C24" i="10" s="1"/>
  <c r="C12" i="9"/>
  <c r="C31" i="10" s="1"/>
  <c r="C59" i="9"/>
  <c r="E62" i="9" l="1"/>
  <c r="E3" i="10"/>
  <c r="E36" i="10"/>
  <c r="E37" i="10"/>
  <c r="E44" i="10" s="1"/>
  <c r="D28" i="9"/>
  <c r="D24" i="10" s="1"/>
  <c r="D12" i="9"/>
  <c r="D31" i="10" s="1"/>
  <c r="D59" i="9"/>
  <c r="D58" i="9"/>
  <c r="D27" i="9"/>
  <c r="D23" i="10" s="1"/>
  <c r="D11" i="9"/>
  <c r="D30" i="10" s="1"/>
  <c r="D49" i="9"/>
  <c r="D48" i="9"/>
  <c r="D26" i="9"/>
  <c r="D22" i="10" s="1"/>
  <c r="D25" i="10" s="1"/>
  <c r="D10" i="9"/>
  <c r="D29" i="10" s="1"/>
  <c r="D39" i="9"/>
  <c r="D40" i="9" s="1"/>
  <c r="D3" i="10" s="1"/>
  <c r="D11" i="10" l="1"/>
  <c r="D32" i="10"/>
  <c r="D35" i="10" s="1"/>
  <c r="E11" i="10"/>
  <c r="E5" i="10"/>
  <c r="E13" i="10" s="1"/>
  <c r="E6" i="10"/>
  <c r="D60" i="9"/>
  <c r="D13" i="9"/>
  <c r="D29" i="9"/>
  <c r="D50" i="9"/>
  <c r="C27" i="9"/>
  <c r="C23" i="10" s="1"/>
  <c r="C11" i="9"/>
  <c r="C30" i="10" s="1"/>
  <c r="C49" i="9"/>
  <c r="C39" i="9"/>
  <c r="D62" i="9" l="1"/>
  <c r="D4" i="10"/>
  <c r="E14" i="10"/>
  <c r="E43" i="10" s="1"/>
  <c r="E45" i="10" s="1"/>
  <c r="D36" i="10"/>
  <c r="D37" i="10"/>
  <c r="D44" i="10" s="1"/>
  <c r="C10" i="9"/>
  <c r="C26" i="9"/>
  <c r="C58" i="9"/>
  <c r="C60" i="9" s="1"/>
  <c r="C48" i="9"/>
  <c r="C50" i="9" s="1"/>
  <c r="C4" i="10" s="1"/>
  <c r="C12" i="10" s="1"/>
  <c r="C29" i="9" l="1"/>
  <c r="C22" i="10"/>
  <c r="C25" i="10" s="1"/>
  <c r="C13" i="9"/>
  <c r="C29" i="10"/>
  <c r="C32" i="10" s="1"/>
  <c r="C35" i="10" s="1"/>
  <c r="D12" i="10"/>
  <c r="D5" i="10"/>
  <c r="C38" i="9"/>
  <c r="C40" i="9" s="1"/>
  <c r="C3" i="10" s="1"/>
  <c r="C62" i="9"/>
  <c r="B28" i="9"/>
  <c r="B24" i="10" s="1"/>
  <c r="B12" i="9"/>
  <c r="B31" i="10" s="1"/>
  <c r="B59" i="9"/>
  <c r="B58" i="9"/>
  <c r="B26" i="9"/>
  <c r="B22" i="10" s="1"/>
  <c r="B10" i="9"/>
  <c r="B29" i="10" s="1"/>
  <c r="B39" i="9"/>
  <c r="B38" i="9"/>
  <c r="B27" i="9"/>
  <c r="B23" i="10" s="1"/>
  <c r="B11" i="9"/>
  <c r="B30" i="10" s="1"/>
  <c r="B49" i="9"/>
  <c r="B48" i="9"/>
  <c r="O14" i="8"/>
  <c r="N14" i="8"/>
  <c r="M14" i="8"/>
  <c r="L14" i="8"/>
  <c r="J14" i="8"/>
  <c r="I14" i="8"/>
  <c r="H14" i="8"/>
  <c r="G14" i="8"/>
  <c r="E14" i="8"/>
  <c r="D14" i="8"/>
  <c r="P13" i="8"/>
  <c r="P12" i="8"/>
  <c r="P11" i="8"/>
  <c r="P6" i="8"/>
  <c r="P5" i="8"/>
  <c r="P4" i="8"/>
  <c r="P3" i="8"/>
  <c r="B32" i="10" l="1"/>
  <c r="B25" i="10"/>
  <c r="B35" i="10" s="1"/>
  <c r="C11" i="10"/>
  <c r="C5" i="10"/>
  <c r="C13" i="10" s="1"/>
  <c r="C6" i="10"/>
  <c r="D13" i="10"/>
  <c r="D6" i="10"/>
  <c r="D14" i="10"/>
  <c r="D43" i="10" s="1"/>
  <c r="D45" i="10" s="1"/>
  <c r="C36" i="10"/>
  <c r="C37" i="10"/>
  <c r="C44" i="10" s="1"/>
  <c r="B60" i="9"/>
  <c r="B50" i="9"/>
  <c r="B4" i="10" s="1"/>
  <c r="B12" i="10" s="1"/>
  <c r="B13" i="9"/>
  <c r="B29" i="9"/>
  <c r="B40" i="9"/>
  <c r="B3" i="10" s="1"/>
  <c r="F14" i="8"/>
  <c r="Q14" i="8" s="1"/>
  <c r="B11" i="10" l="1"/>
  <c r="B5" i="10"/>
  <c r="C14" i="10"/>
  <c r="C43" i="10" s="1"/>
  <c r="C45" i="10" s="1"/>
  <c r="B36" i="10"/>
  <c r="B37" i="10"/>
  <c r="B44" i="10" s="1"/>
  <c r="B62" i="9"/>
  <c r="P14" i="8"/>
  <c r="B13" i="10" l="1"/>
  <c r="B6" i="10"/>
  <c r="B14" i="10"/>
  <c r="B43" i="10" s="1"/>
  <c r="B45" i="10" s="1"/>
  <c r="M59" i="9" l="1"/>
  <c r="M12" i="9"/>
  <c r="M28" i="9"/>
  <c r="M58" i="9"/>
  <c r="M49" i="9"/>
  <c r="M11" i="9"/>
  <c r="M27" i="9"/>
  <c r="M48" i="9"/>
  <c r="M50" i="9" s="1"/>
  <c r="M39" i="9"/>
  <c r="M10" i="9"/>
  <c r="M26" i="9"/>
  <c r="M38" i="9"/>
  <c r="M40" i="9" s="1"/>
  <c r="M60" i="9" l="1"/>
  <c r="M29" i="9"/>
  <c r="M62" i="9"/>
  <c r="M13" i="9"/>
  <c r="F40" i="10"/>
  <c r="F46" i="10" s="1"/>
  <c r="K40" i="10" l="1"/>
  <c r="K46" i="10" s="1"/>
  <c r="D40" i="10"/>
  <c r="D46" i="10" s="1"/>
  <c r="L40" i="10"/>
  <c r="L46" i="10" s="1"/>
  <c r="J40" i="10"/>
  <c r="J46" i="10" s="1"/>
  <c r="E40" i="10"/>
  <c r="E46" i="10" s="1"/>
  <c r="C40" i="10"/>
  <c r="C46" i="10" s="1"/>
  <c r="AA24" i="11" l="1"/>
  <c r="M24" i="11"/>
  <c r="F24" i="11"/>
  <c r="T15" i="11"/>
  <c r="M15" i="11"/>
  <c r="F15" i="11"/>
  <c r="AA6" i="11"/>
  <c r="T6" i="11"/>
  <c r="M6" i="11"/>
  <c r="F6" i="11"/>
  <c r="T24" i="11"/>
  <c r="AA15" i="11"/>
  <c r="H40" i="10"/>
  <c r="H46" i="10" s="1"/>
  <c r="G40" i="10"/>
  <c r="G46" i="10" s="1"/>
  <c r="I40" i="10"/>
  <c r="I46" i="10" s="1"/>
  <c r="F4" i="11" l="1"/>
  <c r="M4" i="11"/>
  <c r="T23" i="11"/>
  <c r="M23" i="11"/>
  <c r="F23" i="11"/>
  <c r="T14" i="11"/>
  <c r="M14" i="11"/>
  <c r="F14" i="11"/>
  <c r="T5" i="11"/>
  <c r="M5" i="11"/>
  <c r="F5" i="11"/>
  <c r="AA5" i="11"/>
  <c r="AA23" i="11"/>
  <c r="AA14" i="11"/>
  <c r="T22" i="11"/>
  <c r="T25" i="11" s="1"/>
  <c r="J34" i="11" s="1"/>
  <c r="M22" i="11"/>
  <c r="M25" i="11" s="1"/>
  <c r="G34" i="11" s="1"/>
  <c r="F22" i="11"/>
  <c r="F25" i="11" s="1"/>
  <c r="D34" i="11" s="1"/>
  <c r="T13" i="11"/>
  <c r="T16" i="11" s="1"/>
  <c r="I34" i="11" s="1"/>
  <c r="M13" i="11"/>
  <c r="M16" i="11" s="1"/>
  <c r="F34" i="11" s="1"/>
  <c r="F13" i="11"/>
  <c r="F16" i="11" s="1"/>
  <c r="C34" i="11" s="1"/>
  <c r="AA4" i="11"/>
  <c r="AA7" i="11" s="1"/>
  <c r="T4" i="11"/>
  <c r="T7" i="11" s="1"/>
  <c r="H34" i="11" s="1"/>
  <c r="M7" i="11"/>
  <c r="E34" i="11" s="1"/>
  <c r="AA22" i="11"/>
  <c r="AA25" i="11" s="1"/>
  <c r="M34" i="11" s="1"/>
  <c r="AA13" i="11"/>
  <c r="AA16" i="11" s="1"/>
  <c r="F7" i="11" l="1"/>
  <c r="B34" i="11" s="1"/>
  <c r="N34" i="11" s="1"/>
  <c r="O34" i="11" s="1"/>
  <c r="B40" i="10"/>
  <c r="B46" i="10" s="1"/>
</calcChain>
</file>

<file path=xl/sharedStrings.xml><?xml version="1.0" encoding="utf-8"?>
<sst xmlns="http://schemas.openxmlformats.org/spreadsheetml/2006/main" count="682" uniqueCount="115">
  <si>
    <t>MÉDIA</t>
  </si>
  <si>
    <t>JAN</t>
  </si>
  <si>
    <t>FEV</t>
  </si>
  <si>
    <t>MAR</t>
  </si>
  <si>
    <t>ABR</t>
  </si>
  <si>
    <t>MAI</t>
  </si>
  <si>
    <t>JUN</t>
  </si>
  <si>
    <t>AGO</t>
  </si>
  <si>
    <t>SET</t>
  </si>
  <si>
    <t>OUT</t>
  </si>
  <si>
    <t>NOV</t>
  </si>
  <si>
    <t>DEZ</t>
  </si>
  <si>
    <t>BENTO LEÃO 25</t>
  </si>
  <si>
    <t>BENTO LEÃO 25 A</t>
  </si>
  <si>
    <t>AREOLINO DE ABREU</t>
  </si>
  <si>
    <t>JULHO</t>
  </si>
  <si>
    <t xml:space="preserve">AGOS </t>
  </si>
  <si>
    <t xml:space="preserve">OUT </t>
  </si>
  <si>
    <t xml:space="preserve">NOV </t>
  </si>
  <si>
    <t>TOTAL MÊS</t>
  </si>
  <si>
    <t>RESUMO ANUAL</t>
  </si>
  <si>
    <t>TOTAL ANO</t>
  </si>
  <si>
    <t>HIDROMETRO</t>
  </si>
  <si>
    <t>ENDEREÇO</t>
  </si>
  <si>
    <t>LOCAL DE ABASTECIMENTO</t>
  </si>
  <si>
    <t>PRODUÇÃO/STA</t>
  </si>
  <si>
    <t>ADM/CQ</t>
  </si>
  <si>
    <t>MANUTENÇÃO</t>
  </si>
  <si>
    <t>CONSUMO (M³)</t>
  </si>
  <si>
    <t>VALOR</t>
  </si>
  <si>
    <t>E15N001061</t>
  </si>
  <si>
    <t>B11L006108</t>
  </si>
  <si>
    <t>B11L006086</t>
  </si>
  <si>
    <t>AREOLINO DE ABREU 306</t>
  </si>
  <si>
    <t>Y12L233313</t>
  </si>
  <si>
    <t>BENTO LEÃO                    -  25 A</t>
  </si>
  <si>
    <t>AREOLINO DE ABREU    -  306</t>
  </si>
  <si>
    <t>TOTAL</t>
  </si>
  <si>
    <t>CONSUMO</t>
  </si>
  <si>
    <t>MEDIA</t>
  </si>
  <si>
    <t>DEMANDA CONTRATADA</t>
  </si>
  <si>
    <t>MATRICULA</t>
  </si>
  <si>
    <t>2737849-7</t>
  </si>
  <si>
    <t>375264-0</t>
  </si>
  <si>
    <t>360983-9</t>
  </si>
  <si>
    <t>DEMANDA UTILIZADA</t>
  </si>
  <si>
    <t>BENTO LEÃO 25A</t>
  </si>
  <si>
    <t xml:space="preserve">JUL </t>
  </si>
  <si>
    <t>VALOR CONSUMO PONTA (R$)</t>
  </si>
  <si>
    <t>CONSUMO PONTA  (Kwh)</t>
  </si>
  <si>
    <t>CONSUMO NORMAL (Kwh)</t>
  </si>
  <si>
    <t>VALOR CONSUMO NORMAL (R$)</t>
  </si>
  <si>
    <t>DEMANDA - RUA AREOLINO DE ABREU</t>
  </si>
  <si>
    <t>DEMANDA EXCEDENTES</t>
  </si>
  <si>
    <t xml:space="preserve">VALOR </t>
  </si>
  <si>
    <t xml:space="preserve">TOTAL </t>
  </si>
  <si>
    <t>DEMANDA - RUA BENTO LEÃO 25</t>
  </si>
  <si>
    <t>DEMANDA - RUA BENTO LEÃO 25A</t>
  </si>
  <si>
    <t>TOTAL DEMANDAS</t>
  </si>
  <si>
    <t>DEMANDA - EQUATORIAL ENERGIA</t>
  </si>
  <si>
    <t>DEMANDA - EQUATORIAL ENERGIA -  (50% INCENTIVO ENERGIA LIMPA)</t>
  </si>
  <si>
    <t>TOTAL CONSUMO</t>
  </si>
  <si>
    <t>ECHOENERGIA</t>
  </si>
  <si>
    <t>ECONOMIA - 18,5%</t>
  </si>
  <si>
    <t>VALOR CONSUMO HORA PONTA (R$)</t>
  </si>
  <si>
    <t>EQUATORIAL(DEMANDA, IL.PUBLICA E REATIVA)</t>
  </si>
  <si>
    <t>ECHOENERGIA (CONSUMO)</t>
  </si>
  <si>
    <t>ECONOMIA ANUAL</t>
  </si>
  <si>
    <t>CONSUMO ANUAL</t>
  </si>
  <si>
    <t>JANEIRO</t>
  </si>
  <si>
    <t>EQUATORIAL</t>
  </si>
  <si>
    <t xml:space="preserve">FEVEREIRO </t>
  </si>
  <si>
    <t>MARÇO</t>
  </si>
  <si>
    <t>ABRIL</t>
  </si>
  <si>
    <t>MAIO</t>
  </si>
  <si>
    <t>JUNHO</t>
  </si>
  <si>
    <t>AGOSTO</t>
  </si>
  <si>
    <t>SETEMBRO</t>
  </si>
  <si>
    <t>OUTUBRO</t>
  </si>
  <si>
    <t>NOVEMBRO</t>
  </si>
  <si>
    <t>DEZEMBRO</t>
  </si>
  <si>
    <t>ECONOMIA</t>
  </si>
  <si>
    <t>OBSERVAÇÃO:</t>
  </si>
  <si>
    <t>A economia foi de R$ 14.500,00(ML) e R$ 14.966,76 da folga no carnaval e mês de fevereiro com 2 dias a menos.</t>
  </si>
  <si>
    <t>JUL</t>
  </si>
  <si>
    <t>ENERGIA</t>
  </si>
  <si>
    <t>EQUATORIAL RENOVAVEIS S.A</t>
  </si>
  <si>
    <t>DIFERENÇA (2024-2023)</t>
  </si>
  <si>
    <t>ENERGIA 2025</t>
  </si>
  <si>
    <t>SÓLIDOS/BATATA/PCP COMPRAS</t>
  </si>
  <si>
    <t>EQUTORIAL RENOVAVEIS S.A (NF SERVIÇO)</t>
  </si>
  <si>
    <t xml:space="preserve">EQUTORIAL RENOVAVEIS S.A (NF SERVIÇO) </t>
  </si>
  <si>
    <t>KWH</t>
  </si>
  <si>
    <t>JOSÉ GUIMARÃES          -   350</t>
  </si>
  <si>
    <t>JOSE GUIMARÃES        -   385</t>
  </si>
  <si>
    <t>JOSE GUIMARÃES 385</t>
  </si>
  <si>
    <t>JOSÉ GUIMARÃES 350</t>
  </si>
  <si>
    <t>JOSÉ GUIMARÃES          -   385</t>
  </si>
  <si>
    <t>equatorial</t>
  </si>
  <si>
    <t>equatorial renováveis S.A</t>
  </si>
  <si>
    <t>equatorial renováveis S.A (serviços)</t>
  </si>
  <si>
    <t>ENERGIA 2026</t>
  </si>
  <si>
    <t>01-400-10-600-1400</t>
  </si>
  <si>
    <t>226962454-2</t>
  </si>
  <si>
    <t>LOCALIZAÇÃO</t>
  </si>
  <si>
    <t>UND.CONSUMIDORA</t>
  </si>
  <si>
    <t>A98N160319</t>
  </si>
  <si>
    <t>01-400-10-600-1395</t>
  </si>
  <si>
    <t>26962454-2</t>
  </si>
  <si>
    <t>203752640-0</t>
  </si>
  <si>
    <t>203585751-6</t>
  </si>
  <si>
    <t>01-400-10-600-1380</t>
  </si>
  <si>
    <t>227378497-4</t>
  </si>
  <si>
    <t>A22FA0234889</t>
  </si>
  <si>
    <t>01-600-10-500-0155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</si>
</sst>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"/>
    <numFmt numFmtId="166" formatCode="&quot;R$&quot;#,##0.00"/>
    <numFmt numFmtId="167" formatCode="_-[$R$-416]\ * #,##0.00_-;\-[$R$-416]\ * #,##0.00_-;_-[$R$-416]\ * &quot;-&quot;??_-;_-@_-"/>
  </numFmts>
  <fonts count="3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86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4" fillId="0" borderId="1" xfId="0" applyNumberFormat="1" applyFont="1" applyBorder="1"/>
    <xf numFmtId="164" fontId="8" fillId="6" borderId="1" xfId="0" applyNumberFormat="1" applyFont="1" applyFill="1" applyBorder="1"/>
    <xf numFmtId="44" fontId="0" fillId="0" borderId="1" xfId="0" applyNumberFormat="1" applyBorder="1"/>
    <xf numFmtId="0" fontId="9" fillId="8" borderId="1" xfId="0" applyFont="1" applyFill="1" applyBorder="1"/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4" fontId="4" fillId="0" borderId="1" xfId="1" applyFont="1" applyBorder="1" applyAlignment="1"/>
    <xf numFmtId="44" fontId="5" fillId="0" borderId="1" xfId="0" applyNumberFormat="1" applyFont="1" applyBorder="1"/>
    <xf numFmtId="0" fontId="4" fillId="8" borderId="1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44" fontId="0" fillId="0" borderId="0" xfId="0" applyNumberFormat="1"/>
    <xf numFmtId="164" fontId="12" fillId="0" borderId="1" xfId="0" applyNumberFormat="1" applyFont="1" applyBorder="1"/>
    <xf numFmtId="0" fontId="5" fillId="9" borderId="1" xfId="0" applyFont="1" applyFill="1" applyBorder="1" applyAlignment="1">
      <alignment horizontal="center"/>
    </xf>
    <xf numFmtId="166" fontId="0" fillId="0" borderId="0" xfId="0" applyNumberFormat="1"/>
    <xf numFmtId="0" fontId="3" fillId="0" borderId="1" xfId="0" applyFont="1" applyBorder="1"/>
    <xf numFmtId="0" fontId="1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65" fontId="16" fillId="2" borderId="1" xfId="0" applyNumberFormat="1" applyFont="1" applyFill="1" applyBorder="1"/>
    <xf numFmtId="164" fontId="1" fillId="0" borderId="1" xfId="0" applyNumberFormat="1" applyFont="1" applyBorder="1"/>
    <xf numFmtId="165" fontId="17" fillId="6" borderId="1" xfId="0" applyNumberFormat="1" applyFont="1" applyFill="1" applyBorder="1"/>
    <xf numFmtId="0" fontId="5" fillId="5" borderId="8" xfId="0" applyFont="1" applyFill="1" applyBorder="1" applyAlignment="1">
      <alignment horizontal="center" vertical="center"/>
    </xf>
    <xf numFmtId="164" fontId="11" fillId="10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8" xfId="0" applyNumberFormat="1" applyFont="1" applyBorder="1"/>
    <xf numFmtId="0" fontId="18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44" fontId="12" fillId="13" borderId="1" xfId="0" applyNumberFormat="1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44" fontId="12" fillId="9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4" fontId="0" fillId="14" borderId="1" xfId="0" applyNumberFormat="1" applyFill="1" applyBorder="1"/>
    <xf numFmtId="0" fontId="5" fillId="14" borderId="1" xfId="0" applyFont="1" applyFill="1" applyBorder="1" applyAlignment="1">
      <alignment horizontal="center"/>
    </xf>
    <xf numFmtId="3" fontId="5" fillId="9" borderId="1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 applyAlignment="1">
      <alignment horizontal="center"/>
    </xf>
    <xf numFmtId="44" fontId="0" fillId="4" borderId="3" xfId="0" applyNumberFormat="1" applyFill="1" applyBorder="1"/>
    <xf numFmtId="44" fontId="0" fillId="4" borderId="4" xfId="0" applyNumberFormat="1" applyFill="1" applyBorder="1"/>
    <xf numFmtId="0" fontId="2" fillId="0" borderId="1" xfId="0" applyFont="1" applyBorder="1" applyAlignment="1">
      <alignment horizontal="center"/>
    </xf>
    <xf numFmtId="44" fontId="5" fillId="14" borderId="1" xfId="0" applyNumberFormat="1" applyFont="1" applyFill="1" applyBorder="1"/>
    <xf numFmtId="44" fontId="0" fillId="0" borderId="0" xfId="0" applyNumberFormat="1" applyAlignment="1">
      <alignment horizontal="center"/>
    </xf>
    <xf numFmtId="0" fontId="19" fillId="0" borderId="1" xfId="0" applyFont="1" applyBorder="1" applyAlignment="1">
      <alignment horizontal="center"/>
    </xf>
    <xf numFmtId="44" fontId="19" fillId="0" borderId="1" xfId="0" applyNumberFormat="1" applyFont="1" applyBorder="1" applyAlignment="1">
      <alignment horizontal="center"/>
    </xf>
    <xf numFmtId="44" fontId="20" fillId="0" borderId="1" xfId="0" applyNumberFormat="1" applyFont="1" applyBorder="1"/>
    <xf numFmtId="165" fontId="0" fillId="0" borderId="0" xfId="0" applyNumberFormat="1"/>
    <xf numFmtId="44" fontId="4" fillId="0" borderId="1" xfId="0" applyNumberFormat="1" applyFont="1" applyBorder="1"/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4" fontId="18" fillId="2" borderId="1" xfId="0" applyNumberFormat="1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2" fillId="17" borderId="2" xfId="0" applyFont="1" applyFill="1" applyBorder="1" applyAlignment="1">
      <alignment horizontal="center"/>
    </xf>
    <xf numFmtId="44" fontId="12" fillId="17" borderId="1" xfId="0" applyNumberFormat="1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5" fillId="0" borderId="1" xfId="0" applyFont="1" applyBorder="1"/>
    <xf numFmtId="0" fontId="5" fillId="16" borderId="1" xfId="0" applyFont="1" applyFill="1" applyBorder="1"/>
    <xf numFmtId="44" fontId="5" fillId="16" borderId="1" xfId="0" applyNumberFormat="1" applyFont="1" applyFill="1" applyBorder="1"/>
    <xf numFmtId="0" fontId="1" fillId="4" borderId="1" xfId="0" applyFont="1" applyFill="1" applyBorder="1"/>
    <xf numFmtId="44" fontId="0" fillId="17" borderId="1" xfId="0" applyNumberFormat="1" applyFill="1" applyBorder="1" applyAlignment="1">
      <alignment horizontal="center" vertical="center"/>
    </xf>
    <xf numFmtId="44" fontId="22" fillId="0" borderId="1" xfId="0" applyNumberFormat="1" applyFont="1" applyBorder="1"/>
    <xf numFmtId="44" fontId="21" fillId="3" borderId="1" xfId="0" applyNumberFormat="1" applyFont="1" applyFill="1" applyBorder="1"/>
    <xf numFmtId="44" fontId="21" fillId="14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wrapText="1"/>
    </xf>
    <xf numFmtId="0" fontId="5" fillId="17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44" fontId="5" fillId="13" borderId="1" xfId="0" applyNumberFormat="1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18" fillId="12" borderId="4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/>
    </xf>
    <xf numFmtId="0" fontId="18" fillId="11" borderId="1" xfId="0" applyFont="1" applyFill="1" applyBorder="1" applyAlignment="1">
      <alignment horizontal="center" vertical="center"/>
    </xf>
    <xf numFmtId="44" fontId="18" fillId="11" borderId="1" xfId="0" applyNumberFormat="1" applyFont="1" applyFill="1" applyBorder="1" applyAlignment="1">
      <alignment horizontal="center" vertical="center"/>
    </xf>
    <xf numFmtId="9" fontId="0" fillId="0" borderId="0" xfId="2" applyFont="1"/>
    <xf numFmtId="0" fontId="25" fillId="11" borderId="1" xfId="0" applyFont="1" applyFill="1" applyBorder="1" applyAlignment="1">
      <alignment horizontal="center" vertical="center"/>
    </xf>
    <xf numFmtId="44" fontId="25" fillId="11" borderId="1" xfId="0" applyNumberFormat="1" applyFont="1" applyFill="1" applyBorder="1"/>
    <xf numFmtId="0" fontId="26" fillId="11" borderId="1" xfId="0" applyFont="1" applyFill="1" applyBorder="1"/>
    <xf numFmtId="0" fontId="26" fillId="0" borderId="0" xfId="0" applyFont="1"/>
    <xf numFmtId="44" fontId="28" fillId="18" borderId="1" xfId="0" applyNumberFormat="1" applyFont="1" applyFill="1" applyBorder="1" applyAlignment="1">
      <alignment horizontal="center"/>
    </xf>
    <xf numFmtId="44" fontId="24" fillId="18" borderId="1" xfId="0" applyNumberFormat="1" applyFont="1" applyFill="1" applyBorder="1" applyAlignment="1">
      <alignment horizontal="center"/>
    </xf>
    <xf numFmtId="44" fontId="24" fillId="11" borderId="1" xfId="0" applyNumberFormat="1" applyFont="1" applyFill="1" applyBorder="1" applyAlignment="1">
      <alignment horizontal="center" vertical="center"/>
    </xf>
    <xf numFmtId="44" fontId="29" fillId="18" borderId="1" xfId="0" applyNumberFormat="1" applyFont="1" applyFill="1" applyBorder="1" applyAlignment="1">
      <alignment horizontal="center"/>
    </xf>
    <xf numFmtId="44" fontId="5" fillId="13" borderId="9" xfId="0" applyNumberFormat="1" applyFont="1" applyFill="1" applyBorder="1" applyAlignment="1">
      <alignment horizontal="center"/>
    </xf>
    <xf numFmtId="44" fontId="23" fillId="11" borderId="9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 vertical="center"/>
    </xf>
    <xf numFmtId="44" fontId="16" fillId="11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67" fontId="28" fillId="18" borderId="5" xfId="0" applyNumberFormat="1" applyFont="1" applyFill="1" applyBorder="1" applyAlignment="1">
      <alignment vertical="center"/>
    </xf>
    <xf numFmtId="44" fontId="14" fillId="0" borderId="1" xfId="0" applyNumberFormat="1" applyFont="1" applyBorder="1"/>
    <xf numFmtId="165" fontId="17" fillId="6" borderId="1" xfId="0" applyNumberFormat="1" applyFont="1" applyFill="1" applyBorder="1" applyAlignment="1">
      <alignment horizontal="center" vertical="center"/>
    </xf>
    <xf numFmtId="44" fontId="24" fillId="18" borderId="9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167" fontId="0" fillId="0" borderId="0" xfId="0" applyNumberFormat="1"/>
    <xf numFmtId="0" fontId="0" fillId="8" borderId="0" xfId="0" applyFill="1"/>
    <xf numFmtId="0" fontId="3" fillId="19" borderId="1" xfId="0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left"/>
    </xf>
    <xf numFmtId="44" fontId="15" fillId="0" borderId="1" xfId="0" applyNumberFormat="1" applyFont="1" applyBorder="1" applyAlignment="1">
      <alignment horizontal="left"/>
    </xf>
    <xf numFmtId="165" fontId="15" fillId="0" borderId="0" xfId="0" applyNumberFormat="1" applyFont="1" applyAlignment="1">
      <alignment horizontal="left"/>
    </xf>
    <xf numFmtId="44" fontId="15" fillId="0" borderId="0" xfId="0" applyNumberFormat="1" applyFont="1" applyAlignment="1">
      <alignment horizontal="left"/>
    </xf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44" fontId="0" fillId="0" borderId="0" xfId="1" applyFont="1"/>
    <xf numFmtId="44" fontId="0" fillId="0" borderId="1" xfId="1" applyFont="1" applyBorder="1" applyAlignment="1">
      <alignment horizontal="center"/>
    </xf>
    <xf numFmtId="44" fontId="0" fillId="0" borderId="0" xfId="2" applyNumberFormat="1" applyFont="1"/>
    <xf numFmtId="44" fontId="0" fillId="0" borderId="1" xfId="1" applyFont="1" applyBorder="1"/>
    <xf numFmtId="44" fontId="0" fillId="0" borderId="0" xfId="1" applyFont="1" applyFill="1"/>
    <xf numFmtId="44" fontId="3" fillId="19" borderId="1" xfId="0" applyNumberFormat="1" applyFont="1" applyFill="1" applyBorder="1" applyAlignment="1">
      <alignment horizontal="center" vertical="center"/>
    </xf>
    <xf numFmtId="2" fontId="28" fillId="18" borderId="1" xfId="0" applyNumberFormat="1" applyFont="1" applyFill="1" applyBorder="1" applyAlignment="1">
      <alignment horizontal="center"/>
    </xf>
    <xf numFmtId="2" fontId="24" fillId="18" borderId="1" xfId="0" applyNumberFormat="1" applyFont="1" applyFill="1" applyBorder="1" applyAlignment="1">
      <alignment horizontal="center"/>
    </xf>
    <xf numFmtId="0" fontId="0" fillId="20" borderId="1" xfId="0" applyFill="1" applyBorder="1"/>
    <xf numFmtId="44" fontId="0" fillId="20" borderId="1" xfId="0" applyNumberFormat="1" applyFill="1" applyBorder="1"/>
    <xf numFmtId="0" fontId="5" fillId="13" borderId="0" xfId="0" applyFont="1" applyFill="1" applyAlignment="1">
      <alignment horizontal="center"/>
    </xf>
    <xf numFmtId="44" fontId="5" fillId="13" borderId="0" xfId="0" applyNumberFormat="1" applyFont="1" applyFill="1" applyAlignment="1">
      <alignment horizontal="center"/>
    </xf>
    <xf numFmtId="44" fontId="24" fillId="18" borderId="0" xfId="0" applyNumberFormat="1" applyFont="1" applyFill="1" applyAlignment="1">
      <alignment horizontal="center"/>
    </xf>
    <xf numFmtId="2" fontId="24" fillId="18" borderId="9" xfId="0" applyNumberFormat="1" applyFont="1" applyFill="1" applyBorder="1" applyAlignment="1">
      <alignment horizontal="center"/>
    </xf>
    <xf numFmtId="165" fontId="29" fillId="1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5" fillId="0" borderId="0" xfId="0" applyNumberFormat="1" applyFont="1" applyAlignment="1">
      <alignment horizontal="center"/>
    </xf>
    <xf numFmtId="44" fontId="5" fillId="0" borderId="0" xfId="0" applyNumberFormat="1" applyFont="1"/>
    <xf numFmtId="164" fontId="5" fillId="0" borderId="0" xfId="0" applyNumberFormat="1" applyFont="1"/>
    <xf numFmtId="164" fontId="12" fillId="0" borderId="0" xfId="0" applyNumberFormat="1" applyFont="1"/>
    <xf numFmtId="164" fontId="11" fillId="10" borderId="0" xfId="0" applyNumberFormat="1" applyFont="1" applyFill="1"/>
    <xf numFmtId="0" fontId="0" fillId="0" borderId="1" xfId="0" applyBorder="1" applyAlignment="1">
      <alignment horizontal="left"/>
    </xf>
    <xf numFmtId="44" fontId="0" fillId="0" borderId="1" xfId="0" applyNumberFormat="1" applyBorder="1" applyAlignment="1">
      <alignment horizontal="left"/>
    </xf>
    <xf numFmtId="44" fontId="0" fillId="0" borderId="1" xfId="1" applyFont="1" applyBorder="1" applyAlignment="1">
      <alignment horizontal="left"/>
    </xf>
    <xf numFmtId="0" fontId="0" fillId="0" borderId="1" xfId="1" applyNumberFormat="1" applyFont="1" applyBorder="1" applyAlignment="1">
      <alignment horizontal="center"/>
    </xf>
    <xf numFmtId="164" fontId="4" fillId="8" borderId="1" xfId="0" applyNumberFormat="1" applyFont="1" applyFill="1" applyBorder="1"/>
    <xf numFmtId="164" fontId="8" fillId="8" borderId="1" xfId="0" applyNumberFormat="1" applyFont="1" applyFill="1" applyBorder="1"/>
    <xf numFmtId="167" fontId="0" fillId="0" borderId="1" xfId="0" applyNumberFormat="1" applyBorder="1"/>
    <xf numFmtId="44" fontId="21" fillId="0" borderId="1" xfId="0" applyNumberFormat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8" fillId="18" borderId="1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/>
    </xf>
    <xf numFmtId="0" fontId="27" fillId="12" borderId="10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18" fillId="12" borderId="4" xfId="0" applyFont="1" applyFill="1" applyBorder="1" applyAlignment="1">
      <alignment horizontal="center"/>
    </xf>
    <xf numFmtId="0" fontId="27" fillId="12" borderId="9" xfId="0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5" fillId="14" borderId="6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ENERGIA MERCADO LIVRE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0E0-49C0-90B3-C7E8030148F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0E0-49C0-90B3-C7E8030148F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0E0-49C0-90B3-C7E8030148F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0E0-49C0-90B3-C7E8030148F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0E0-49C0-90B3-C7E803014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69117344"/>
        <c:axId val="469108488"/>
        <c:extLst/>
      </c:barChart>
      <c:catAx>
        <c:axId val="46911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108488"/>
        <c:crosses val="autoZero"/>
        <c:auto val="1"/>
        <c:lblAlgn val="ctr"/>
        <c:lblOffset val="100"/>
        <c:noMultiLvlLbl val="0"/>
      </c:catAx>
      <c:valAx>
        <c:axId val="46910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valores faturas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117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19513512673864"/>
          <c:y val="0.19432888597258677"/>
          <c:w val="0.85362983551984473"/>
          <c:h val="0.65196011956838729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020-4658-8D4E-4F69F0FDEA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1839296"/>
        <c:axId val="471843232"/>
      </c:lineChart>
      <c:catAx>
        <c:axId val="47183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1843232"/>
        <c:crosses val="autoZero"/>
        <c:auto val="1"/>
        <c:lblAlgn val="ctr"/>
        <c:lblOffset val="100"/>
        <c:noMultiLvlLbl val="0"/>
      </c:catAx>
      <c:valAx>
        <c:axId val="4718432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1839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BD-4653-A4AF-7662F32A6F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BD-4653-A4AF-7662F32A6F8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BD-4653-A4AF-7662F32A6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620240"/>
        <c:axId val="524621224"/>
      </c:barChart>
      <c:catAx>
        <c:axId val="5246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621224"/>
        <c:crosses val="autoZero"/>
        <c:auto val="1"/>
        <c:lblAlgn val="ctr"/>
        <c:lblOffset val="100"/>
        <c:noMultiLvlLbl val="0"/>
      </c:catAx>
      <c:valAx>
        <c:axId val="52462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620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542925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18</xdr:col>
      <xdr:colOff>365125</xdr:colOff>
      <xdr:row>30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18</xdr:col>
      <xdr:colOff>359833</xdr:colOff>
      <xdr:row>48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0.17996</cdr:x>
      <cdr:y>0.36651</cdr:y>
    </cdr:from>
    <cdr:to>
      <cdr:x>0.20315</cdr:x>
      <cdr:y>0.69444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2053168" y="1005417"/>
          <a:ext cx="264582" cy="899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2022</a:t>
          </a:r>
        </a:p>
      </cdr:txBody>
    </cdr:sp>
  </cdr:relSizeAnchor>
  <cdr:relSizeAnchor xmlns:cdr="http://schemas.openxmlformats.org/drawingml/2006/chartDrawing">
    <cdr:from>
      <cdr:x>0.36085</cdr:x>
      <cdr:y>0.4321</cdr:y>
    </cdr:from>
    <cdr:to>
      <cdr:x>0.37662</cdr:x>
      <cdr:y>0.60185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4116917" y="1185333"/>
          <a:ext cx="179916" cy="465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0.53896</cdr:x>
      <cdr:y>0.42438</cdr:y>
    </cdr:from>
    <cdr:to>
      <cdr:x>0.55473</cdr:x>
      <cdr:y>0.625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6148917" y="1164167"/>
          <a:ext cx="179916" cy="5503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0.71985</cdr:x>
      <cdr:y>0.47839</cdr:y>
    </cdr:from>
    <cdr:to>
      <cdr:x>0.73377</cdr:x>
      <cdr:y>0.66744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8212667" y="1312333"/>
          <a:ext cx="158750" cy="518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0.89332</cdr:x>
      <cdr:y>0.48611</cdr:y>
    </cdr:from>
    <cdr:to>
      <cdr:x>0.90724</cdr:x>
      <cdr:y>0.66358</cdr:y>
    </cdr:to>
    <cdr:sp macro="" textlink="">
      <cdr:nvSpPr>
        <cdr:cNvPr id="6" name="CaixaDeTexto 5"/>
        <cdr:cNvSpPr txBox="1"/>
      </cdr:nvSpPr>
      <cdr:spPr>
        <a:xfrm xmlns:a="http://schemas.openxmlformats.org/drawingml/2006/main">
          <a:off x="10191750" y="1333500"/>
          <a:ext cx="158750" cy="486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s%20compartilhados\MANUTEN&#199;&#195;O\MANUTEN&#199;&#195;O%202025\PLANILHAS%20DE%20GERENCIAMENTO%20DA%20MANUTE&#199;&#195;O\ENERGIA%20EL&#201;TRICA%20(EQUATORIAL)\ENERGIA%202023.xlsx" TargetMode="External"/><Relationship Id="rId1" Type="http://schemas.openxmlformats.org/officeDocument/2006/relationships/externalLinkPath" Target="file:///G:\Drives%20compartilhados\MANUTEN&#199;&#195;O\MANUTEN&#199;&#195;O%202025\PLANILHAS%20DE%20GERENCIAMENTO%20DA%20MANUTE&#199;&#195;O\ENERGIA%20EL&#201;TRICA%20E%20&#193;GUA\ENERGIA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IA 2022"/>
      <sheetName val="ANÁLISE CONSUMO"/>
      <sheetName val="Planilha1"/>
      <sheetName val="ENERGIA 2023 - LIVRE"/>
      <sheetName val="painel"/>
      <sheetName val="AGUA 2023"/>
    </sheetNames>
    <sheetDataSet>
      <sheetData sheetId="0"/>
      <sheetData sheetId="1"/>
      <sheetData sheetId="2"/>
      <sheetData sheetId="3">
        <row r="37">
          <cell r="B37">
            <v>62597.68</v>
          </cell>
          <cell r="C37">
            <v>62244.930000000008</v>
          </cell>
          <cell r="D37">
            <v>46282.960000000006</v>
          </cell>
          <cell r="E37">
            <v>54003.360000000001</v>
          </cell>
          <cell r="F37">
            <v>53845.799999999996</v>
          </cell>
          <cell r="G37">
            <v>65134.19</v>
          </cell>
          <cell r="H37">
            <v>65293.94</v>
          </cell>
          <cell r="I37">
            <v>64927.98</v>
          </cell>
          <cell r="J37">
            <v>74762.17</v>
          </cell>
          <cell r="K37">
            <v>71904.87</v>
          </cell>
          <cell r="L37">
            <v>73080.079999999987</v>
          </cell>
          <cell r="M37">
            <v>66751.19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opLeftCell="B40" zoomScaleNormal="100" workbookViewId="0">
      <selection activeCell="B22" sqref="B22"/>
    </sheetView>
  </sheetViews>
  <sheetFormatPr defaultRowHeight="15" x14ac:dyDescent="0.25"/>
  <cols>
    <col min="1" max="1" width="29.7109375" bestFit="1" customWidth="1"/>
    <col min="2" max="13" width="13.28515625" bestFit="1" customWidth="1"/>
    <col min="14" max="14" width="20.85546875" customWidth="1"/>
    <col min="15" max="15" width="12.140625" bestFit="1" customWidth="1"/>
  </cols>
  <sheetData>
    <row r="1" spans="1:14" x14ac:dyDescent="0.25">
      <c r="A1" s="166" t="s">
        <v>49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4" x14ac:dyDescent="0.25">
      <c r="A2" s="43"/>
      <c r="B2" s="43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47</v>
      </c>
      <c r="I2" s="43" t="s">
        <v>7</v>
      </c>
      <c r="J2" s="43" t="s">
        <v>8</v>
      </c>
      <c r="K2" s="43" t="s">
        <v>9</v>
      </c>
      <c r="L2" s="43" t="s">
        <v>10</v>
      </c>
      <c r="M2" s="43" t="s">
        <v>11</v>
      </c>
      <c r="N2" s="39"/>
    </row>
    <row r="3" spans="1:14" x14ac:dyDescent="0.25">
      <c r="A3" s="38" t="s">
        <v>14</v>
      </c>
      <c r="B3" s="50" t="e">
        <f>#REF!</f>
        <v>#REF!</v>
      </c>
      <c r="C3" s="50" t="e">
        <f>#REF!</f>
        <v>#REF!</v>
      </c>
      <c r="D3" s="50" t="e">
        <f>#REF!</f>
        <v>#REF!</v>
      </c>
      <c r="E3" s="38" t="e">
        <f>#REF!</f>
        <v>#REF!</v>
      </c>
      <c r="F3" s="50" t="e">
        <f>#REF!</f>
        <v>#REF!</v>
      </c>
      <c r="G3" s="50" t="e">
        <f>#REF!</f>
        <v>#REF!</v>
      </c>
      <c r="H3" s="38" t="e">
        <f>#REF!</f>
        <v>#REF!</v>
      </c>
      <c r="I3" s="38" t="e">
        <f>#REF!</f>
        <v>#REF!</v>
      </c>
      <c r="J3" s="38" t="e">
        <f>#REF!</f>
        <v>#REF!</v>
      </c>
      <c r="K3" s="50" t="e">
        <f>#REF!</f>
        <v>#REF!</v>
      </c>
      <c r="L3" s="50" t="e">
        <f>#REF!</f>
        <v>#REF!</v>
      </c>
      <c r="M3" s="50" t="e">
        <f>#REF!</f>
        <v>#REF!</v>
      </c>
      <c r="N3" s="39"/>
    </row>
    <row r="4" spans="1:14" x14ac:dyDescent="0.25">
      <c r="A4" s="38" t="s">
        <v>12</v>
      </c>
      <c r="B4" s="50" t="e">
        <f>#REF!</f>
        <v>#REF!</v>
      </c>
      <c r="C4" s="38" t="e">
        <f>#REF!</f>
        <v>#REF!</v>
      </c>
      <c r="D4" s="50" t="e">
        <f>#REF!</f>
        <v>#REF!</v>
      </c>
      <c r="E4" s="50" t="e">
        <f>#REF!</f>
        <v>#REF!</v>
      </c>
      <c r="F4" s="50" t="e">
        <f>#REF!</f>
        <v>#REF!</v>
      </c>
      <c r="G4" s="50" t="e">
        <f>#REF!</f>
        <v>#REF!</v>
      </c>
      <c r="H4" s="50" t="e">
        <f>#REF!</f>
        <v>#REF!</v>
      </c>
      <c r="I4" s="50" t="e">
        <f>#REF!</f>
        <v>#REF!</v>
      </c>
      <c r="J4" s="50" t="e">
        <f>#REF!</f>
        <v>#REF!</v>
      </c>
      <c r="K4" s="50" t="e">
        <f>#REF!</f>
        <v>#REF!</v>
      </c>
      <c r="L4" s="50" t="e">
        <f>#REF!</f>
        <v>#REF!</v>
      </c>
      <c r="M4" s="50" t="e">
        <f>#REF!</f>
        <v>#REF!</v>
      </c>
      <c r="N4" s="39"/>
    </row>
    <row r="5" spans="1:14" x14ac:dyDescent="0.25">
      <c r="A5" s="38" t="s">
        <v>46</v>
      </c>
      <c r="B5" s="50" t="e">
        <f>#REF!</f>
        <v>#REF!</v>
      </c>
      <c r="C5" s="38" t="e">
        <f>#REF!</f>
        <v>#REF!</v>
      </c>
      <c r="D5" s="50" t="e">
        <f>#REF!</f>
        <v>#REF!</v>
      </c>
      <c r="E5" s="50" t="e">
        <f>#REF!</f>
        <v>#REF!</v>
      </c>
      <c r="F5" s="50" t="e">
        <f>#REF!</f>
        <v>#REF!</v>
      </c>
      <c r="G5" s="50" t="e">
        <f>#REF!</f>
        <v>#REF!</v>
      </c>
      <c r="H5" s="50" t="e">
        <f>#REF!</f>
        <v>#REF!</v>
      </c>
      <c r="I5" s="50" t="e">
        <f>#REF!</f>
        <v>#REF!</v>
      </c>
      <c r="J5" s="38" t="e">
        <f>#REF!</f>
        <v>#REF!</v>
      </c>
      <c r="K5" s="50" t="e">
        <f>#REF!</f>
        <v>#REF!</v>
      </c>
      <c r="L5" s="38" t="e">
        <f>#REF!</f>
        <v>#REF!</v>
      </c>
      <c r="M5" s="50" t="e">
        <f>#REF!</f>
        <v>#REF!</v>
      </c>
      <c r="N5" s="39"/>
    </row>
    <row r="6" spans="1:14" x14ac:dyDescent="0.25">
      <c r="A6" s="44" t="s">
        <v>37</v>
      </c>
      <c r="B6" s="44" t="e">
        <f>SUM(B3:B5)</f>
        <v>#REF!</v>
      </c>
      <c r="C6" s="44" t="e">
        <f t="shared" ref="C6:M6" si="0">SUM(C3:C5)</f>
        <v>#REF!</v>
      </c>
      <c r="D6" s="44" t="e">
        <f t="shared" si="0"/>
        <v>#REF!</v>
      </c>
      <c r="E6" s="44" t="e">
        <f t="shared" si="0"/>
        <v>#REF!</v>
      </c>
      <c r="F6" s="44" t="e">
        <f t="shared" si="0"/>
        <v>#REF!</v>
      </c>
      <c r="G6" s="44" t="e">
        <f t="shared" si="0"/>
        <v>#REF!</v>
      </c>
      <c r="H6" s="44" t="e">
        <f t="shared" si="0"/>
        <v>#REF!</v>
      </c>
      <c r="I6" s="44" t="e">
        <f t="shared" si="0"/>
        <v>#REF!</v>
      </c>
      <c r="J6" s="44" t="e">
        <f t="shared" si="0"/>
        <v>#REF!</v>
      </c>
      <c r="K6" s="44" t="e">
        <f t="shared" si="0"/>
        <v>#REF!</v>
      </c>
      <c r="L6" s="44" t="e">
        <f t="shared" si="0"/>
        <v>#REF!</v>
      </c>
      <c r="M6" s="44" t="e">
        <f t="shared" si="0"/>
        <v>#REF!</v>
      </c>
      <c r="N6" s="39"/>
    </row>
    <row r="7" spans="1:14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/>
      <c r="N7" s="39"/>
    </row>
    <row r="8" spans="1:14" x14ac:dyDescent="0.25">
      <c r="A8" s="178" t="s">
        <v>48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39"/>
    </row>
    <row r="9" spans="1:14" x14ac:dyDescent="0.25">
      <c r="A9" s="43"/>
      <c r="B9" s="43" t="s">
        <v>1</v>
      </c>
      <c r="C9" s="43" t="s">
        <v>2</v>
      </c>
      <c r="D9" s="43" t="s">
        <v>3</v>
      </c>
      <c r="E9" s="43" t="s">
        <v>4</v>
      </c>
      <c r="F9" s="43" t="s">
        <v>5</v>
      </c>
      <c r="G9" s="43" t="s">
        <v>6</v>
      </c>
      <c r="H9" s="43" t="s">
        <v>47</v>
      </c>
      <c r="I9" s="43" t="s">
        <v>7</v>
      </c>
      <c r="J9" s="43" t="s">
        <v>8</v>
      </c>
      <c r="K9" s="43" t="s">
        <v>9</v>
      </c>
      <c r="L9" s="43" t="s">
        <v>10</v>
      </c>
      <c r="M9" s="43" t="s">
        <v>11</v>
      </c>
      <c r="N9" s="39"/>
    </row>
    <row r="10" spans="1:14" x14ac:dyDescent="0.25">
      <c r="A10" s="38" t="s">
        <v>14</v>
      </c>
      <c r="B10" s="16" t="e">
        <f>#REF!</f>
        <v>#REF!</v>
      </c>
      <c r="C10" s="16" t="e">
        <f>#REF!</f>
        <v>#REF!</v>
      </c>
      <c r="D10" s="16" t="e">
        <f>#REF!</f>
        <v>#REF!</v>
      </c>
      <c r="E10" s="16" t="e">
        <f>#REF!</f>
        <v>#REF!</v>
      </c>
      <c r="F10" s="16" t="e">
        <f>#REF!</f>
        <v>#REF!</v>
      </c>
      <c r="G10" s="16" t="e">
        <f>#REF!</f>
        <v>#REF!</v>
      </c>
      <c r="H10" s="16" t="e">
        <f>#REF!</f>
        <v>#REF!</v>
      </c>
      <c r="I10" s="16" t="e">
        <f>#REF!</f>
        <v>#REF!</v>
      </c>
      <c r="J10" s="16" t="e">
        <f>#REF!</f>
        <v>#REF!</v>
      </c>
      <c r="K10" s="16" t="e">
        <f>#REF!</f>
        <v>#REF!</v>
      </c>
      <c r="L10" s="16" t="e">
        <f>#REF!</f>
        <v>#REF!</v>
      </c>
      <c r="M10" s="16" t="e">
        <f>#REF!</f>
        <v>#REF!</v>
      </c>
      <c r="N10" s="64"/>
    </row>
    <row r="11" spans="1:14" x14ac:dyDescent="0.25">
      <c r="A11" s="38" t="s">
        <v>12</v>
      </c>
      <c r="B11" s="16" t="e">
        <f>#REF!</f>
        <v>#REF!</v>
      </c>
      <c r="C11" s="16" t="e">
        <f>#REF!</f>
        <v>#REF!</v>
      </c>
      <c r="D11" s="16" t="e">
        <f>#REF!</f>
        <v>#REF!</v>
      </c>
      <c r="E11" s="16" t="e">
        <f>#REF!</f>
        <v>#REF!</v>
      </c>
      <c r="F11" s="16" t="e">
        <f>#REF!</f>
        <v>#REF!</v>
      </c>
      <c r="G11" s="16" t="e">
        <f>#REF!</f>
        <v>#REF!</v>
      </c>
      <c r="H11" s="16" t="e">
        <f>#REF!</f>
        <v>#REF!</v>
      </c>
      <c r="I11" s="16" t="e">
        <f>#REF!</f>
        <v>#REF!</v>
      </c>
      <c r="J11" s="16" t="e">
        <f>#REF!</f>
        <v>#REF!</v>
      </c>
      <c r="K11" s="16" t="e">
        <f>#REF!</f>
        <v>#REF!</v>
      </c>
      <c r="L11" s="16" t="e">
        <f>#REF!</f>
        <v>#REF!</v>
      </c>
      <c r="M11" s="16" t="e">
        <f>#REF!</f>
        <v>#REF!</v>
      </c>
      <c r="N11" s="64"/>
    </row>
    <row r="12" spans="1:14" x14ac:dyDescent="0.25">
      <c r="A12" s="38" t="s">
        <v>46</v>
      </c>
      <c r="B12" s="16" t="e">
        <f>#REF!</f>
        <v>#REF!</v>
      </c>
      <c r="C12" s="16" t="e">
        <f>#REF!</f>
        <v>#REF!</v>
      </c>
      <c r="D12" s="16" t="e">
        <f>#REF!</f>
        <v>#REF!</v>
      </c>
      <c r="E12" s="16" t="e">
        <f>#REF!</f>
        <v>#REF!</v>
      </c>
      <c r="F12" s="16" t="e">
        <f>#REF!</f>
        <v>#REF!</v>
      </c>
      <c r="G12" s="16" t="e">
        <f>#REF!</f>
        <v>#REF!</v>
      </c>
      <c r="H12" s="16" t="e">
        <f>#REF!</f>
        <v>#REF!</v>
      </c>
      <c r="I12" s="16" t="e">
        <f>#REF!</f>
        <v>#REF!</v>
      </c>
      <c r="J12" s="16" t="e">
        <f>#REF!</f>
        <v>#REF!</v>
      </c>
      <c r="K12" s="16" t="e">
        <f>#REF!</f>
        <v>#REF!</v>
      </c>
      <c r="L12" s="16" t="e">
        <f>#REF!</f>
        <v>#REF!</v>
      </c>
      <c r="M12" s="16" t="e">
        <f>#REF!</f>
        <v>#REF!</v>
      </c>
      <c r="N12" s="64"/>
    </row>
    <row r="13" spans="1:14" x14ac:dyDescent="0.25">
      <c r="A13" s="45" t="s">
        <v>37</v>
      </c>
      <c r="B13" s="46" t="e">
        <f>SUM(B10:B12)</f>
        <v>#REF!</v>
      </c>
      <c r="C13" s="46" t="e">
        <f t="shared" ref="C13:M13" si="1">SUM(C10:C12)</f>
        <v>#REF!</v>
      </c>
      <c r="D13" s="46" t="e">
        <f t="shared" si="1"/>
        <v>#REF!</v>
      </c>
      <c r="E13" s="46" t="e">
        <f t="shared" si="1"/>
        <v>#REF!</v>
      </c>
      <c r="F13" s="46" t="e">
        <f t="shared" si="1"/>
        <v>#REF!</v>
      </c>
      <c r="G13" s="46" t="e">
        <f t="shared" si="1"/>
        <v>#REF!</v>
      </c>
      <c r="H13" s="46" t="e">
        <f t="shared" si="1"/>
        <v>#REF!</v>
      </c>
      <c r="I13" s="46" t="e">
        <f t="shared" si="1"/>
        <v>#REF!</v>
      </c>
      <c r="J13" s="46" t="e">
        <f t="shared" si="1"/>
        <v>#REF!</v>
      </c>
      <c r="K13" s="46" t="e">
        <f t="shared" si="1"/>
        <v>#REF!</v>
      </c>
      <c r="L13" s="46" t="e">
        <f t="shared" si="1"/>
        <v>#REF!</v>
      </c>
      <c r="M13" s="46" t="e">
        <f t="shared" si="1"/>
        <v>#REF!</v>
      </c>
      <c r="N13" s="64"/>
    </row>
    <row r="14" spans="1:14" x14ac:dyDescent="0.25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39"/>
    </row>
    <row r="15" spans="1:14" x14ac:dyDescent="0.25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39"/>
    </row>
    <row r="16" spans="1:14" x14ac:dyDescent="0.25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39"/>
    </row>
    <row r="17" spans="1:14" x14ac:dyDescent="0.25">
      <c r="A17" s="177" t="s">
        <v>50</v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39"/>
    </row>
    <row r="18" spans="1:14" x14ac:dyDescent="0.25">
      <c r="A18" s="47"/>
      <c r="B18" s="47" t="s">
        <v>1</v>
      </c>
      <c r="C18" s="47" t="s">
        <v>2</v>
      </c>
      <c r="D18" s="47" t="s">
        <v>3</v>
      </c>
      <c r="E18" s="47" t="s">
        <v>4</v>
      </c>
      <c r="F18" s="47" t="s">
        <v>5</v>
      </c>
      <c r="G18" s="47" t="s">
        <v>6</v>
      </c>
      <c r="H18" s="47" t="s">
        <v>47</v>
      </c>
      <c r="I18" s="47" t="s">
        <v>7</v>
      </c>
      <c r="J18" s="47" t="s">
        <v>8</v>
      </c>
      <c r="K18" s="47" t="s">
        <v>9</v>
      </c>
      <c r="L18" s="47" t="s">
        <v>10</v>
      </c>
      <c r="M18" s="47" t="s">
        <v>11</v>
      </c>
      <c r="N18" s="39"/>
    </row>
    <row r="19" spans="1:14" x14ac:dyDescent="0.25">
      <c r="A19" s="38" t="s">
        <v>14</v>
      </c>
      <c r="B19" s="50" t="e">
        <f>#REF!</f>
        <v>#REF!</v>
      </c>
      <c r="C19" s="50" t="e">
        <f>#REF!</f>
        <v>#REF!</v>
      </c>
      <c r="D19" s="50" t="e">
        <f>#REF!</f>
        <v>#REF!</v>
      </c>
      <c r="E19" s="50" t="e">
        <f>#REF!</f>
        <v>#REF!</v>
      </c>
      <c r="F19" s="50" t="e">
        <f>#REF!</f>
        <v>#REF!</v>
      </c>
      <c r="G19" s="50" t="e">
        <f>#REF!</f>
        <v>#REF!</v>
      </c>
      <c r="H19" s="50" t="e">
        <f>#REF!</f>
        <v>#REF!</v>
      </c>
      <c r="I19" s="50" t="e">
        <f>#REF!</f>
        <v>#REF!</v>
      </c>
      <c r="J19" s="50" t="e">
        <f>#REF!</f>
        <v>#REF!</v>
      </c>
      <c r="K19" s="50" t="e">
        <f>#REF!</f>
        <v>#REF!</v>
      </c>
      <c r="L19" s="50" t="e">
        <f>#REF!</f>
        <v>#REF!</v>
      </c>
      <c r="M19" s="50" t="e">
        <f>#REF!</f>
        <v>#REF!</v>
      </c>
      <c r="N19" s="64"/>
    </row>
    <row r="20" spans="1:14" x14ac:dyDescent="0.25">
      <c r="A20" s="38" t="s">
        <v>12</v>
      </c>
      <c r="B20" s="50" t="e">
        <f>#REF!</f>
        <v>#REF!</v>
      </c>
      <c r="C20" s="50" t="e">
        <f>#REF!</f>
        <v>#REF!</v>
      </c>
      <c r="D20" s="50" t="e">
        <f>#REF!</f>
        <v>#REF!</v>
      </c>
      <c r="E20" s="50" t="e">
        <f>#REF!</f>
        <v>#REF!</v>
      </c>
      <c r="F20" s="50" t="e">
        <f>#REF!</f>
        <v>#REF!</v>
      </c>
      <c r="G20" s="50" t="e">
        <f>#REF!</f>
        <v>#REF!</v>
      </c>
      <c r="H20" s="50" t="e">
        <f>#REF!</f>
        <v>#REF!</v>
      </c>
      <c r="I20" s="50" t="e">
        <f>#REF!</f>
        <v>#REF!</v>
      </c>
      <c r="J20" s="50" t="e">
        <f>#REF!</f>
        <v>#REF!</v>
      </c>
      <c r="K20" s="50" t="e">
        <f>#REF!</f>
        <v>#REF!</v>
      </c>
      <c r="L20" s="50" t="e">
        <f>#REF!</f>
        <v>#REF!</v>
      </c>
      <c r="M20" s="50" t="e">
        <f>#REF!</f>
        <v>#REF!</v>
      </c>
      <c r="N20" s="64"/>
    </row>
    <row r="21" spans="1:14" x14ac:dyDescent="0.25">
      <c r="A21" s="38" t="s">
        <v>46</v>
      </c>
      <c r="B21" s="50" t="e">
        <f>#REF!</f>
        <v>#REF!</v>
      </c>
      <c r="C21" s="50" t="e">
        <f>#REF!</f>
        <v>#REF!</v>
      </c>
      <c r="D21" s="50" t="e">
        <f>#REF!</f>
        <v>#REF!</v>
      </c>
      <c r="E21" s="50" t="e">
        <f>#REF!</f>
        <v>#REF!</v>
      </c>
      <c r="F21" s="50" t="e">
        <f>#REF!</f>
        <v>#REF!</v>
      </c>
      <c r="G21" s="50" t="e">
        <f>#REF!</f>
        <v>#REF!</v>
      </c>
      <c r="H21" s="50" t="e">
        <f>#REF!</f>
        <v>#REF!</v>
      </c>
      <c r="I21" s="50" t="e">
        <f>#REF!</f>
        <v>#REF!</v>
      </c>
      <c r="J21" s="50" t="e">
        <f>#REF!</f>
        <v>#REF!</v>
      </c>
      <c r="K21" s="50" t="e">
        <f>#REF!</f>
        <v>#REF!</v>
      </c>
      <c r="L21" s="50" t="e">
        <f>#REF!</f>
        <v>#REF!</v>
      </c>
      <c r="M21" s="50" t="e">
        <f>#REF!</f>
        <v>#REF!</v>
      </c>
      <c r="N21" s="64"/>
    </row>
    <row r="22" spans="1:14" x14ac:dyDescent="0.25">
      <c r="A22" s="26" t="s">
        <v>37</v>
      </c>
      <c r="B22" s="53" t="e">
        <f>SUM(B19:B21)</f>
        <v>#REF!</v>
      </c>
      <c r="C22" s="53" t="e">
        <f t="shared" ref="C22:M22" si="2">SUM(C19:C21)</f>
        <v>#REF!</v>
      </c>
      <c r="D22" s="53" t="e">
        <f t="shared" si="2"/>
        <v>#REF!</v>
      </c>
      <c r="E22" s="53" t="e">
        <f t="shared" si="2"/>
        <v>#REF!</v>
      </c>
      <c r="F22" s="53" t="e">
        <f t="shared" si="2"/>
        <v>#REF!</v>
      </c>
      <c r="G22" s="53" t="e">
        <f t="shared" si="2"/>
        <v>#REF!</v>
      </c>
      <c r="H22" s="53" t="e">
        <f t="shared" si="2"/>
        <v>#REF!</v>
      </c>
      <c r="I22" s="53" t="e">
        <f t="shared" si="2"/>
        <v>#REF!</v>
      </c>
      <c r="J22" s="53" t="e">
        <f t="shared" si="2"/>
        <v>#REF!</v>
      </c>
      <c r="K22" s="53" t="e">
        <f t="shared" si="2"/>
        <v>#REF!</v>
      </c>
      <c r="L22" s="53" t="e">
        <f t="shared" si="2"/>
        <v>#REF!</v>
      </c>
      <c r="M22" s="53" t="e">
        <f t="shared" si="2"/>
        <v>#REF!</v>
      </c>
      <c r="N22" s="64"/>
    </row>
    <row r="23" spans="1:14" x14ac:dyDescent="0.25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  <c r="N23" s="39"/>
    </row>
    <row r="24" spans="1:14" x14ac:dyDescent="0.25">
      <c r="A24" s="177" t="s">
        <v>51</v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39"/>
    </row>
    <row r="25" spans="1:14" x14ac:dyDescent="0.25">
      <c r="A25" s="47"/>
      <c r="B25" s="47" t="s">
        <v>1</v>
      </c>
      <c r="C25" s="47" t="s">
        <v>2</v>
      </c>
      <c r="D25" s="47" t="s">
        <v>3</v>
      </c>
      <c r="E25" s="47" t="s">
        <v>4</v>
      </c>
      <c r="F25" s="47" t="s">
        <v>5</v>
      </c>
      <c r="G25" s="47" t="s">
        <v>6</v>
      </c>
      <c r="H25" s="47" t="s">
        <v>47</v>
      </c>
      <c r="I25" s="47" t="s">
        <v>7</v>
      </c>
      <c r="J25" s="47" t="s">
        <v>8</v>
      </c>
      <c r="K25" s="47" t="s">
        <v>9</v>
      </c>
      <c r="L25" s="47" t="s">
        <v>10</v>
      </c>
      <c r="M25" s="47" t="s">
        <v>11</v>
      </c>
      <c r="N25" s="39"/>
    </row>
    <row r="26" spans="1:14" x14ac:dyDescent="0.25">
      <c r="A26" s="38" t="s">
        <v>14</v>
      </c>
      <c r="B26" s="16" t="e">
        <f>#REF!</f>
        <v>#REF!</v>
      </c>
      <c r="C26" s="16" t="e">
        <f>#REF!</f>
        <v>#REF!</v>
      </c>
      <c r="D26" s="16" t="e">
        <f>#REF!</f>
        <v>#REF!</v>
      </c>
      <c r="E26" s="16" t="e">
        <f>#REF!</f>
        <v>#REF!</v>
      </c>
      <c r="F26" s="16" t="e">
        <f>#REF!</f>
        <v>#REF!</v>
      </c>
      <c r="G26" s="16" t="e">
        <f>#REF!</f>
        <v>#REF!</v>
      </c>
      <c r="H26" s="16" t="e">
        <f>#REF!</f>
        <v>#REF!</v>
      </c>
      <c r="I26" s="16" t="e">
        <f>#REF!</f>
        <v>#REF!</v>
      </c>
      <c r="J26" s="16" t="e">
        <f>#REF!</f>
        <v>#REF!</v>
      </c>
      <c r="K26" s="16" t="e">
        <f>#REF!</f>
        <v>#REF!</v>
      </c>
      <c r="L26" s="16" t="e">
        <f>#REF!</f>
        <v>#REF!</v>
      </c>
      <c r="M26" s="16" t="e">
        <f>#REF!</f>
        <v>#REF!</v>
      </c>
      <c r="N26" s="64"/>
    </row>
    <row r="27" spans="1:14" x14ac:dyDescent="0.25">
      <c r="A27" s="38" t="s">
        <v>12</v>
      </c>
      <c r="B27" s="16" t="e">
        <f>#REF!</f>
        <v>#REF!</v>
      </c>
      <c r="C27" s="16" t="e">
        <f>#REF!</f>
        <v>#REF!</v>
      </c>
      <c r="D27" s="16" t="e">
        <f>#REF!</f>
        <v>#REF!</v>
      </c>
      <c r="E27" s="16" t="e">
        <f>#REF!</f>
        <v>#REF!</v>
      </c>
      <c r="F27" s="16" t="e">
        <f>#REF!</f>
        <v>#REF!</v>
      </c>
      <c r="G27" s="16" t="e">
        <f>#REF!</f>
        <v>#REF!</v>
      </c>
      <c r="H27" s="16" t="e">
        <f>#REF!</f>
        <v>#REF!</v>
      </c>
      <c r="I27" s="16" t="e">
        <f>#REF!</f>
        <v>#REF!</v>
      </c>
      <c r="J27" s="16" t="e">
        <f>#REF!</f>
        <v>#REF!</v>
      </c>
      <c r="K27" s="16" t="e">
        <f>#REF!</f>
        <v>#REF!</v>
      </c>
      <c r="L27" s="16" t="e">
        <f>#REF!</f>
        <v>#REF!</v>
      </c>
      <c r="M27" s="16" t="e">
        <f>#REF!</f>
        <v>#REF!</v>
      </c>
      <c r="N27" s="64"/>
    </row>
    <row r="28" spans="1:14" x14ac:dyDescent="0.25">
      <c r="A28" s="38" t="s">
        <v>46</v>
      </c>
      <c r="B28" s="16" t="e">
        <f>#REF!</f>
        <v>#REF!</v>
      </c>
      <c r="C28" s="16" t="e">
        <f>#REF!</f>
        <v>#REF!</v>
      </c>
      <c r="D28" s="16" t="e">
        <f>#REF!</f>
        <v>#REF!</v>
      </c>
      <c r="E28" s="16" t="e">
        <f>#REF!</f>
        <v>#REF!</v>
      </c>
      <c r="F28" s="16" t="e">
        <f>#REF!</f>
        <v>#REF!</v>
      </c>
      <c r="G28" s="16" t="e">
        <f>#REF!</f>
        <v>#REF!</v>
      </c>
      <c r="H28" s="16" t="e">
        <f>#REF!</f>
        <v>#REF!</v>
      </c>
      <c r="I28" s="16" t="e">
        <f>#REF!</f>
        <v>#REF!</v>
      </c>
      <c r="J28" s="16" t="e">
        <f>#REF!</f>
        <v>#REF!</v>
      </c>
      <c r="K28" s="16" t="e">
        <f>#REF!</f>
        <v>#REF!</v>
      </c>
      <c r="L28" s="16" t="e">
        <f>#REF!</f>
        <v>#REF!</v>
      </c>
      <c r="M28" s="16" t="e">
        <f>#REF!</f>
        <v>#REF!</v>
      </c>
      <c r="N28" s="64"/>
    </row>
    <row r="29" spans="1:14" x14ac:dyDescent="0.25">
      <c r="A29" s="48" t="s">
        <v>37</v>
      </c>
      <c r="B29" s="49" t="e">
        <f>SUM(B26:B28)</f>
        <v>#REF!</v>
      </c>
      <c r="C29" s="49" t="e">
        <f>SUM(C26:C28)</f>
        <v>#REF!</v>
      </c>
      <c r="D29" s="49" t="e">
        <f t="shared" ref="D29:K29" si="3">SUM(D26:D28)</f>
        <v>#REF!</v>
      </c>
      <c r="E29" s="49" t="e">
        <f t="shared" si="3"/>
        <v>#REF!</v>
      </c>
      <c r="F29" s="49" t="e">
        <f t="shared" si="3"/>
        <v>#REF!</v>
      </c>
      <c r="G29" s="49" t="e">
        <f t="shared" si="3"/>
        <v>#REF!</v>
      </c>
      <c r="H29" s="49" t="e">
        <f t="shared" si="3"/>
        <v>#REF!</v>
      </c>
      <c r="I29" s="49" t="e">
        <f t="shared" si="3"/>
        <v>#REF!</v>
      </c>
      <c r="J29" s="49" t="e">
        <f t="shared" si="3"/>
        <v>#REF!</v>
      </c>
      <c r="K29" s="49" t="e">
        <f t="shared" si="3"/>
        <v>#REF!</v>
      </c>
      <c r="L29" s="49" t="e">
        <f t="shared" ref="L29:M29" si="4">SUM(L26:L28)</f>
        <v>#REF!</v>
      </c>
      <c r="M29" s="49" t="e">
        <f t="shared" si="4"/>
        <v>#REF!</v>
      </c>
      <c r="N29" s="64"/>
    </row>
    <row r="30" spans="1:14" x14ac:dyDescent="0.25">
      <c r="N30" s="39"/>
    </row>
    <row r="31" spans="1:14" x14ac:dyDescent="0.25">
      <c r="N31" s="39"/>
    </row>
    <row r="32" spans="1:14" x14ac:dyDescent="0.25">
      <c r="A32" s="181" t="s">
        <v>52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9"/>
    </row>
    <row r="33" spans="1:15" x14ac:dyDescent="0.25">
      <c r="A33" s="43" t="s">
        <v>38</v>
      </c>
      <c r="B33" s="43" t="s">
        <v>1</v>
      </c>
      <c r="C33" s="43" t="s">
        <v>2</v>
      </c>
      <c r="D33" s="43" t="s">
        <v>3</v>
      </c>
      <c r="E33" s="43" t="s">
        <v>4</v>
      </c>
      <c r="F33" s="43" t="s">
        <v>5</v>
      </c>
      <c r="G33" s="43" t="s">
        <v>6</v>
      </c>
      <c r="H33" s="43" t="s">
        <v>47</v>
      </c>
      <c r="I33" s="43" t="s">
        <v>7</v>
      </c>
      <c r="J33" s="43" t="s">
        <v>8</v>
      </c>
      <c r="K33" s="43" t="s">
        <v>9</v>
      </c>
      <c r="L33" s="43" t="s">
        <v>10</v>
      </c>
      <c r="M33" s="43" t="s">
        <v>11</v>
      </c>
      <c r="N33" s="39"/>
    </row>
    <row r="34" spans="1:15" x14ac:dyDescent="0.25">
      <c r="A34" s="38" t="s">
        <v>40</v>
      </c>
      <c r="B34" s="62">
        <v>165</v>
      </c>
      <c r="C34" s="62">
        <v>165</v>
      </c>
      <c r="D34" s="62">
        <v>165</v>
      </c>
      <c r="E34" s="62">
        <v>165</v>
      </c>
      <c r="F34" s="62">
        <v>165</v>
      </c>
      <c r="G34" s="62">
        <v>165</v>
      </c>
      <c r="H34" s="62">
        <v>165</v>
      </c>
      <c r="I34" s="62">
        <v>165</v>
      </c>
      <c r="J34" s="62">
        <v>165</v>
      </c>
      <c r="K34" s="62">
        <v>165</v>
      </c>
      <c r="L34" s="62">
        <v>165</v>
      </c>
      <c r="M34" s="62">
        <v>165</v>
      </c>
      <c r="N34" s="39"/>
    </row>
    <row r="35" spans="1:15" x14ac:dyDescent="0.25">
      <c r="A35" s="38" t="s">
        <v>45</v>
      </c>
      <c r="B35" s="71" t="e">
        <f>#REF!</f>
        <v>#REF!</v>
      </c>
      <c r="C35" s="71" t="e">
        <f>#REF!</f>
        <v>#REF!</v>
      </c>
      <c r="D35" s="71" t="e">
        <f>#REF!</f>
        <v>#REF!</v>
      </c>
      <c r="E35" s="38" t="e">
        <f>#REF!</f>
        <v>#REF!</v>
      </c>
      <c r="F35" s="38" t="e">
        <f>#REF!</f>
        <v>#REF!</v>
      </c>
      <c r="G35" s="38" t="e">
        <f>#REF!</f>
        <v>#REF!</v>
      </c>
      <c r="H35" s="38" t="e">
        <f>#REF!</f>
        <v>#REF!</v>
      </c>
      <c r="I35" s="72" t="e">
        <f>#REF!</f>
        <v>#REF!</v>
      </c>
      <c r="J35" s="38" t="e">
        <f>#REF!</f>
        <v>#REF!</v>
      </c>
      <c r="K35" s="71" t="e">
        <f>#REF!</f>
        <v>#REF!</v>
      </c>
      <c r="L35" s="38" t="e">
        <f>#REF!</f>
        <v>#REF!</v>
      </c>
      <c r="M35" s="38" t="e">
        <f>#REF!</f>
        <v>#REF!</v>
      </c>
      <c r="N35" s="39"/>
      <c r="O35" s="180"/>
    </row>
    <row r="36" spans="1:15" x14ac:dyDescent="0.25">
      <c r="A36" s="38" t="s">
        <v>53</v>
      </c>
      <c r="B36" s="38" t="e">
        <f>#REF!</f>
        <v>#REF!</v>
      </c>
      <c r="C36" s="38" t="e">
        <f>#REF!</f>
        <v>#REF!</v>
      </c>
      <c r="D36" s="38" t="e">
        <f>#REF!</f>
        <v>#REF!</v>
      </c>
      <c r="E36" s="38" t="e">
        <f>#REF!</f>
        <v>#REF!</v>
      </c>
      <c r="F36" s="38" t="e">
        <f>#REF!</f>
        <v>#REF!</v>
      </c>
      <c r="G36" s="38" t="e">
        <f>#REF!</f>
        <v>#REF!</v>
      </c>
      <c r="H36" s="38" t="e">
        <f>#REF!</f>
        <v>#REF!</v>
      </c>
      <c r="I36" s="38" t="e">
        <f>#REF!</f>
        <v>#REF!</v>
      </c>
      <c r="J36" s="38" t="e">
        <f>#REF!</f>
        <v>#REF!</v>
      </c>
      <c r="K36" s="38" t="e">
        <f>#REF!</f>
        <v>#REF!</v>
      </c>
      <c r="L36" s="38" t="e">
        <f>#REF!</f>
        <v>#REF!</v>
      </c>
      <c r="M36" s="38" t="e">
        <f>#REF!</f>
        <v>#REF!</v>
      </c>
      <c r="N36" s="39"/>
      <c r="O36" s="180"/>
    </row>
    <row r="37" spans="1:15" x14ac:dyDescent="0.25">
      <c r="A37" s="54" t="s">
        <v>54</v>
      </c>
      <c r="B37" s="55" t="s">
        <v>1</v>
      </c>
      <c r="C37" s="55" t="s">
        <v>2</v>
      </c>
      <c r="D37" s="55" t="s">
        <v>3</v>
      </c>
      <c r="E37" s="55" t="s">
        <v>4</v>
      </c>
      <c r="F37" s="55" t="s">
        <v>5</v>
      </c>
      <c r="G37" s="55" t="s">
        <v>6</v>
      </c>
      <c r="H37" s="55" t="s">
        <v>47</v>
      </c>
      <c r="I37" s="55" t="s">
        <v>7</v>
      </c>
      <c r="J37" s="55" t="s">
        <v>8</v>
      </c>
      <c r="K37" s="55" t="s">
        <v>9</v>
      </c>
      <c r="L37" s="55" t="s">
        <v>10</v>
      </c>
      <c r="M37" s="55" t="s">
        <v>11</v>
      </c>
      <c r="N37" s="39"/>
    </row>
    <row r="38" spans="1:15" x14ac:dyDescent="0.25">
      <c r="A38" s="38" t="s">
        <v>45</v>
      </c>
      <c r="B38" s="16" t="e">
        <f>#REF!</f>
        <v>#REF!</v>
      </c>
      <c r="C38" s="16" t="e">
        <f>#REF!</f>
        <v>#REF!</v>
      </c>
      <c r="D38" s="16" t="e">
        <f>#REF!</f>
        <v>#REF!</v>
      </c>
      <c r="E38" s="16" t="e">
        <f>#REF!</f>
        <v>#REF!</v>
      </c>
      <c r="F38" s="16" t="e">
        <f>#REF!</f>
        <v>#REF!</v>
      </c>
      <c r="G38" s="16" t="e">
        <f>#REF!</f>
        <v>#REF!</v>
      </c>
      <c r="H38" s="16" t="e">
        <f>#REF!</f>
        <v>#REF!</v>
      </c>
      <c r="I38" s="16" t="e">
        <f>#REF!</f>
        <v>#REF!</v>
      </c>
      <c r="J38" s="16" t="e">
        <f>#REF!</f>
        <v>#REF!</v>
      </c>
      <c r="K38" s="16" t="e">
        <f>#REF!</f>
        <v>#REF!</v>
      </c>
      <c r="L38" s="16" t="e">
        <f>#REF!</f>
        <v>#REF!</v>
      </c>
      <c r="M38" s="16" t="e">
        <f>#REF!</f>
        <v>#REF!</v>
      </c>
      <c r="N38" s="64"/>
    </row>
    <row r="39" spans="1:15" x14ac:dyDescent="0.25">
      <c r="A39" s="38" t="s">
        <v>53</v>
      </c>
      <c r="B39" s="16" t="e">
        <f>#REF!</f>
        <v>#REF!</v>
      </c>
      <c r="C39" s="16" t="e">
        <f>#REF!</f>
        <v>#REF!</v>
      </c>
      <c r="D39" s="16" t="e">
        <f>#REF!</f>
        <v>#REF!</v>
      </c>
      <c r="E39" s="16" t="e">
        <f>#REF!</f>
        <v>#REF!</v>
      </c>
      <c r="F39" s="16" t="e">
        <f>#REF!</f>
        <v>#REF!</v>
      </c>
      <c r="G39" s="16" t="e">
        <f>#REF!</f>
        <v>#REF!</v>
      </c>
      <c r="H39" s="16" t="e">
        <f>#REF!</f>
        <v>#REF!</v>
      </c>
      <c r="I39" s="16" t="e">
        <f>#REF!</f>
        <v>#REF!</v>
      </c>
      <c r="J39" s="16" t="e">
        <f>#REF!</f>
        <v>#REF!</v>
      </c>
      <c r="K39" s="16" t="e">
        <f>#REF!</f>
        <v>#REF!</v>
      </c>
      <c r="L39" s="16" t="e">
        <f>#REF!</f>
        <v>#REF!</v>
      </c>
      <c r="M39" s="16" t="e">
        <f>#REF!</f>
        <v>#REF!</v>
      </c>
      <c r="N39" s="64"/>
    </row>
    <row r="40" spans="1:15" x14ac:dyDescent="0.25">
      <c r="A40" s="52" t="s">
        <v>55</v>
      </c>
      <c r="B40" s="63" t="e">
        <f>B38+B39</f>
        <v>#REF!</v>
      </c>
      <c r="C40" s="63" t="e">
        <f t="shared" ref="C40:M40" si="5">C38+C39</f>
        <v>#REF!</v>
      </c>
      <c r="D40" s="63" t="e">
        <f t="shared" si="5"/>
        <v>#REF!</v>
      </c>
      <c r="E40" s="63" t="e">
        <f t="shared" si="5"/>
        <v>#REF!</v>
      </c>
      <c r="F40" s="63" t="e">
        <f t="shared" si="5"/>
        <v>#REF!</v>
      </c>
      <c r="G40" s="63" t="e">
        <f t="shared" si="5"/>
        <v>#REF!</v>
      </c>
      <c r="H40" s="63" t="e">
        <f t="shared" si="5"/>
        <v>#REF!</v>
      </c>
      <c r="I40" s="63" t="e">
        <f t="shared" si="5"/>
        <v>#REF!</v>
      </c>
      <c r="J40" s="63" t="e">
        <f t="shared" si="5"/>
        <v>#REF!</v>
      </c>
      <c r="K40" s="63" t="e">
        <f t="shared" si="5"/>
        <v>#REF!</v>
      </c>
      <c r="L40" s="63" t="e">
        <f t="shared" si="5"/>
        <v>#REF!</v>
      </c>
      <c r="M40" s="63" t="e">
        <f t="shared" si="5"/>
        <v>#REF!</v>
      </c>
      <c r="N40" s="64"/>
      <c r="O40" s="24"/>
    </row>
    <row r="41" spans="1:15" x14ac:dyDescent="0.25">
      <c r="A41" s="59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39"/>
    </row>
    <row r="42" spans="1:15" x14ac:dyDescent="0.25">
      <c r="A42" s="181" t="s">
        <v>56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39"/>
    </row>
    <row r="43" spans="1:15" x14ac:dyDescent="0.25">
      <c r="A43" s="43" t="s">
        <v>38</v>
      </c>
      <c r="B43" s="43" t="s">
        <v>1</v>
      </c>
      <c r="C43" s="43" t="s">
        <v>2</v>
      </c>
      <c r="D43" s="43" t="s">
        <v>3</v>
      </c>
      <c r="E43" s="43" t="s">
        <v>4</v>
      </c>
      <c r="F43" s="43" t="s">
        <v>5</v>
      </c>
      <c r="G43" s="43" t="s">
        <v>6</v>
      </c>
      <c r="H43" s="43" t="s">
        <v>47</v>
      </c>
      <c r="I43" s="43" t="s">
        <v>7</v>
      </c>
      <c r="J43" s="43" t="s">
        <v>8</v>
      </c>
      <c r="K43" s="43" t="s">
        <v>9</v>
      </c>
      <c r="L43" s="43" t="s">
        <v>10</v>
      </c>
      <c r="M43" s="43" t="s">
        <v>11</v>
      </c>
      <c r="N43" s="39"/>
    </row>
    <row r="44" spans="1:15" x14ac:dyDescent="0.25">
      <c r="A44" s="38" t="s">
        <v>40</v>
      </c>
      <c r="B44" s="62">
        <v>115</v>
      </c>
      <c r="C44" s="62">
        <v>115</v>
      </c>
      <c r="D44" s="62">
        <v>115</v>
      </c>
      <c r="E44" s="62">
        <v>115</v>
      </c>
      <c r="F44" s="62">
        <v>115</v>
      </c>
      <c r="G44" s="62">
        <v>115</v>
      </c>
      <c r="H44" s="62">
        <v>115</v>
      </c>
      <c r="I44" s="62">
        <v>115</v>
      </c>
      <c r="J44" s="62">
        <v>115</v>
      </c>
      <c r="K44" s="62">
        <v>115</v>
      </c>
      <c r="L44" s="62">
        <v>115</v>
      </c>
      <c r="M44" s="62">
        <v>115</v>
      </c>
      <c r="N44" s="39"/>
    </row>
    <row r="45" spans="1:15" x14ac:dyDescent="0.25">
      <c r="A45" s="38" t="s">
        <v>45</v>
      </c>
      <c r="B45" s="38" t="e">
        <f>#REF!</f>
        <v>#REF!</v>
      </c>
      <c r="C45" s="38" t="e">
        <f>#REF!</f>
        <v>#REF!</v>
      </c>
      <c r="D45" s="38" t="e">
        <f>#REF!</f>
        <v>#REF!</v>
      </c>
      <c r="E45" s="38" t="e">
        <f>#REF!</f>
        <v>#REF!</v>
      </c>
      <c r="F45" s="38" t="e">
        <f>#REF!</f>
        <v>#REF!</v>
      </c>
      <c r="G45" s="38" t="e">
        <f>#REF!</f>
        <v>#REF!</v>
      </c>
      <c r="H45" s="38" t="e">
        <f>#REF!</f>
        <v>#REF!</v>
      </c>
      <c r="I45" s="38" t="e">
        <f>#REF!</f>
        <v>#REF!</v>
      </c>
      <c r="J45" s="38" t="e">
        <f>#REF!</f>
        <v>#REF!</v>
      </c>
      <c r="K45" s="38" t="e">
        <f>#REF!</f>
        <v>#REF!</v>
      </c>
      <c r="L45" s="38" t="e">
        <f>#REF!</f>
        <v>#REF!</v>
      </c>
      <c r="M45" s="38" t="e">
        <f>#REF!</f>
        <v>#REF!</v>
      </c>
      <c r="N45" s="39"/>
      <c r="O45" s="180"/>
    </row>
    <row r="46" spans="1:15" x14ac:dyDescent="0.25">
      <c r="A46" s="38" t="s">
        <v>53</v>
      </c>
      <c r="B46" s="38" t="e">
        <f>#REF!</f>
        <v>#REF!</v>
      </c>
      <c r="C46" s="38" t="e">
        <f>#REF!</f>
        <v>#REF!</v>
      </c>
      <c r="D46" s="38" t="e">
        <f>#REF!</f>
        <v>#REF!</v>
      </c>
      <c r="E46" s="38" t="e">
        <f>#REF!</f>
        <v>#REF!</v>
      </c>
      <c r="F46" s="38" t="e">
        <f>#REF!</f>
        <v>#REF!</v>
      </c>
      <c r="G46" s="38" t="e">
        <f>#REF!</f>
        <v>#REF!</v>
      </c>
      <c r="H46" s="38" t="e">
        <f>#REF!</f>
        <v>#REF!</v>
      </c>
      <c r="I46" s="38" t="e">
        <f>#REF!</f>
        <v>#REF!</v>
      </c>
      <c r="J46" s="38" t="e">
        <f>#REF!</f>
        <v>#REF!</v>
      </c>
      <c r="K46" s="38" t="e">
        <f>#REF!</f>
        <v>#REF!</v>
      </c>
      <c r="L46" s="38" t="e">
        <f>#REF!</f>
        <v>#REF!</v>
      </c>
      <c r="M46" s="38" t="e">
        <f>#REF!</f>
        <v>#REF!</v>
      </c>
      <c r="N46" s="39"/>
      <c r="O46" s="180"/>
    </row>
    <row r="47" spans="1:15" x14ac:dyDescent="0.25">
      <c r="A47" s="54" t="s">
        <v>54</v>
      </c>
      <c r="B47" s="55" t="s">
        <v>1</v>
      </c>
      <c r="C47" s="55" t="s">
        <v>2</v>
      </c>
      <c r="D47" s="55" t="s">
        <v>3</v>
      </c>
      <c r="E47" s="55" t="s">
        <v>4</v>
      </c>
      <c r="F47" s="55" t="s">
        <v>5</v>
      </c>
      <c r="G47" s="55" t="s">
        <v>6</v>
      </c>
      <c r="H47" s="55" t="s">
        <v>47</v>
      </c>
      <c r="I47" s="55" t="s">
        <v>7</v>
      </c>
      <c r="J47" s="55" t="s">
        <v>8</v>
      </c>
      <c r="K47" s="55" t="s">
        <v>9</v>
      </c>
      <c r="L47" s="55" t="s">
        <v>10</v>
      </c>
      <c r="M47" s="55" t="s">
        <v>11</v>
      </c>
      <c r="N47" s="39"/>
    </row>
    <row r="48" spans="1:15" x14ac:dyDescent="0.25">
      <c r="A48" s="38" t="s">
        <v>45</v>
      </c>
      <c r="B48" s="16" t="e">
        <f>#REF!</f>
        <v>#REF!</v>
      </c>
      <c r="C48" s="16" t="e">
        <f>#REF!</f>
        <v>#REF!</v>
      </c>
      <c r="D48" s="16" t="e">
        <f>#REF!</f>
        <v>#REF!</v>
      </c>
      <c r="E48" s="16" t="e">
        <f>#REF!</f>
        <v>#REF!</v>
      </c>
      <c r="F48" s="16" t="e">
        <f>#REF!</f>
        <v>#REF!</v>
      </c>
      <c r="G48" s="16" t="e">
        <f>#REF!</f>
        <v>#REF!</v>
      </c>
      <c r="H48" s="16" t="e">
        <f>#REF!</f>
        <v>#REF!</v>
      </c>
      <c r="I48" s="16" t="e">
        <f>#REF!</f>
        <v>#REF!</v>
      </c>
      <c r="J48" s="16" t="e">
        <f>#REF!</f>
        <v>#REF!</v>
      </c>
      <c r="K48" s="16" t="e">
        <f>#REF!</f>
        <v>#REF!</v>
      </c>
      <c r="L48" s="16" t="e">
        <f>#REF!</f>
        <v>#REF!</v>
      </c>
      <c r="M48" s="16" t="e">
        <f>#REF!</f>
        <v>#REF!</v>
      </c>
      <c r="N48" s="64"/>
    </row>
    <row r="49" spans="1:15" x14ac:dyDescent="0.25">
      <c r="A49" s="38" t="s">
        <v>53</v>
      </c>
      <c r="B49" s="16" t="e">
        <f>#REF!</f>
        <v>#REF!</v>
      </c>
      <c r="C49" s="16" t="e">
        <f>#REF!</f>
        <v>#REF!</v>
      </c>
      <c r="D49" s="16" t="e">
        <f>#REF!</f>
        <v>#REF!</v>
      </c>
      <c r="E49" s="16" t="e">
        <f>#REF!</f>
        <v>#REF!</v>
      </c>
      <c r="F49" s="16" t="e">
        <f>#REF!</f>
        <v>#REF!</v>
      </c>
      <c r="G49" s="16" t="e">
        <f>#REF!</f>
        <v>#REF!</v>
      </c>
      <c r="H49" s="16" t="e">
        <f>#REF!</f>
        <v>#REF!</v>
      </c>
      <c r="I49" s="16" t="e">
        <f>#REF!</f>
        <v>#REF!</v>
      </c>
      <c r="J49" s="16" t="e">
        <f>#REF!</f>
        <v>#REF!</v>
      </c>
      <c r="K49" s="16" t="e">
        <f>#REF!</f>
        <v>#REF!</v>
      </c>
      <c r="L49" s="16" t="e">
        <f>#REF!</f>
        <v>#REF!</v>
      </c>
      <c r="M49" s="16" t="e">
        <f>#REF!</f>
        <v>#REF!</v>
      </c>
      <c r="N49" s="64"/>
    </row>
    <row r="50" spans="1:15" x14ac:dyDescent="0.25">
      <c r="A50" s="52" t="s">
        <v>55</v>
      </c>
      <c r="B50" s="63" t="e">
        <f>B48+B49</f>
        <v>#REF!</v>
      </c>
      <c r="C50" s="63" t="e">
        <f t="shared" ref="C50:M50" si="6">C48+C49</f>
        <v>#REF!</v>
      </c>
      <c r="D50" s="63" t="e">
        <f t="shared" si="6"/>
        <v>#REF!</v>
      </c>
      <c r="E50" s="63" t="e">
        <f t="shared" si="6"/>
        <v>#REF!</v>
      </c>
      <c r="F50" s="63" t="e">
        <f t="shared" si="6"/>
        <v>#REF!</v>
      </c>
      <c r="G50" s="63" t="e">
        <f t="shared" si="6"/>
        <v>#REF!</v>
      </c>
      <c r="H50" s="63" t="e">
        <f t="shared" si="6"/>
        <v>#REF!</v>
      </c>
      <c r="I50" s="63" t="e">
        <f t="shared" si="6"/>
        <v>#REF!</v>
      </c>
      <c r="J50" s="63" t="e">
        <f t="shared" si="6"/>
        <v>#REF!</v>
      </c>
      <c r="K50" s="63" t="e">
        <f t="shared" si="6"/>
        <v>#REF!</v>
      </c>
      <c r="L50" s="51" t="e">
        <f t="shared" si="6"/>
        <v>#REF!</v>
      </c>
      <c r="M50" s="51" t="e">
        <f t="shared" si="6"/>
        <v>#REF!</v>
      </c>
      <c r="N50" s="64"/>
      <c r="O50" s="24"/>
    </row>
    <row r="51" spans="1:15" x14ac:dyDescent="0.25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39"/>
    </row>
    <row r="52" spans="1:15" x14ac:dyDescent="0.25">
      <c r="A52" s="181" t="s">
        <v>57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39"/>
    </row>
    <row r="53" spans="1:15" x14ac:dyDescent="0.25">
      <c r="A53" s="43" t="s">
        <v>38</v>
      </c>
      <c r="B53" s="43" t="s">
        <v>1</v>
      </c>
      <c r="C53" s="43" t="s">
        <v>2</v>
      </c>
      <c r="D53" s="43" t="s">
        <v>3</v>
      </c>
      <c r="E53" s="43" t="s">
        <v>4</v>
      </c>
      <c r="F53" s="43" t="s">
        <v>5</v>
      </c>
      <c r="G53" s="43" t="s">
        <v>6</v>
      </c>
      <c r="H53" s="43" t="s">
        <v>47</v>
      </c>
      <c r="I53" s="43" t="s">
        <v>7</v>
      </c>
      <c r="J53" s="43" t="s">
        <v>8</v>
      </c>
      <c r="K53" s="43" t="s">
        <v>9</v>
      </c>
      <c r="L53" s="43" t="s">
        <v>10</v>
      </c>
      <c r="M53" s="43" t="s">
        <v>11</v>
      </c>
      <c r="N53" s="39"/>
    </row>
    <row r="54" spans="1:15" x14ac:dyDescent="0.25">
      <c r="A54" s="38" t="s">
        <v>40</v>
      </c>
      <c r="B54" s="62">
        <v>215</v>
      </c>
      <c r="C54" s="62">
        <v>215</v>
      </c>
      <c r="D54" s="62">
        <v>215</v>
      </c>
      <c r="E54" s="62">
        <v>215</v>
      </c>
      <c r="F54" s="62">
        <v>215</v>
      </c>
      <c r="G54" s="62">
        <v>215</v>
      </c>
      <c r="H54" s="62">
        <v>215</v>
      </c>
      <c r="I54" s="62">
        <v>215</v>
      </c>
      <c r="J54" s="62">
        <v>215</v>
      </c>
      <c r="K54" s="62">
        <v>215</v>
      </c>
      <c r="L54" s="62">
        <v>215</v>
      </c>
      <c r="M54" s="62">
        <v>215</v>
      </c>
      <c r="N54" s="39"/>
    </row>
    <row r="55" spans="1:15" x14ac:dyDescent="0.25">
      <c r="A55" s="38" t="s">
        <v>45</v>
      </c>
      <c r="B55" s="38" t="e">
        <f>#REF!</f>
        <v>#REF!</v>
      </c>
      <c r="C55" s="71" t="e">
        <f>#REF!</f>
        <v>#REF!</v>
      </c>
      <c r="D55" s="71" t="e">
        <f>#REF!</f>
        <v>#REF!</v>
      </c>
      <c r="E55" s="71" t="e">
        <f>#REF!</f>
        <v>#REF!</v>
      </c>
      <c r="F55" s="38" t="e">
        <f>#REF!</f>
        <v>#REF!</v>
      </c>
      <c r="G55" s="38" t="e">
        <f>#REF!</f>
        <v>#REF!</v>
      </c>
      <c r="H55" s="71" t="e">
        <f>#REF!</f>
        <v>#REF!</v>
      </c>
      <c r="I55" s="71" t="e">
        <f>#REF!</f>
        <v>#REF!</v>
      </c>
      <c r="J55" s="71" t="e">
        <f>#REF!</f>
        <v>#REF!</v>
      </c>
      <c r="K55" s="38" t="e">
        <f>#REF!</f>
        <v>#REF!</v>
      </c>
      <c r="L55" s="38" t="e">
        <f>#REF!</f>
        <v>#REF!</v>
      </c>
      <c r="M55" s="38" t="e">
        <f>#REF!</f>
        <v>#REF!</v>
      </c>
      <c r="N55" s="39"/>
    </row>
    <row r="56" spans="1:15" x14ac:dyDescent="0.25">
      <c r="A56" s="38" t="s">
        <v>53</v>
      </c>
      <c r="B56" s="38" t="e">
        <f>#REF!</f>
        <v>#REF!</v>
      </c>
      <c r="C56" s="38" t="e">
        <f>#REF!</f>
        <v>#REF!</v>
      </c>
      <c r="D56" s="38" t="e">
        <f>#REF!</f>
        <v>#REF!</v>
      </c>
      <c r="E56" s="38" t="e">
        <f>#REF!</f>
        <v>#REF!</v>
      </c>
      <c r="F56" s="38" t="e">
        <f>#REF!</f>
        <v>#REF!</v>
      </c>
      <c r="G56" s="50" t="e">
        <f>#REF!</f>
        <v>#REF!</v>
      </c>
      <c r="H56" s="38" t="e">
        <f>#REF!</f>
        <v>#REF!</v>
      </c>
      <c r="I56" s="38" t="e">
        <f>#REF!</f>
        <v>#REF!</v>
      </c>
      <c r="J56" s="38" t="e">
        <f>#REF!</f>
        <v>#REF!</v>
      </c>
      <c r="K56" s="38" t="e">
        <f>#REF!</f>
        <v>#REF!</v>
      </c>
      <c r="L56" s="38" t="e">
        <f>#REF!</f>
        <v>#REF!</v>
      </c>
      <c r="M56" s="38" t="e">
        <f>#REF!</f>
        <v>#REF!</v>
      </c>
      <c r="N56" s="39"/>
    </row>
    <row r="57" spans="1:15" x14ac:dyDescent="0.25">
      <c r="A57" s="54" t="s">
        <v>54</v>
      </c>
      <c r="B57" s="55" t="s">
        <v>1</v>
      </c>
      <c r="C57" s="55" t="s">
        <v>2</v>
      </c>
      <c r="D57" s="55" t="s">
        <v>3</v>
      </c>
      <c r="E57" s="55" t="s">
        <v>4</v>
      </c>
      <c r="F57" s="55" t="s">
        <v>5</v>
      </c>
      <c r="G57" s="55" t="s">
        <v>6</v>
      </c>
      <c r="H57" s="55" t="s">
        <v>47</v>
      </c>
      <c r="I57" s="55" t="s">
        <v>7</v>
      </c>
      <c r="J57" s="55" t="s">
        <v>8</v>
      </c>
      <c r="K57" s="55" t="s">
        <v>9</v>
      </c>
      <c r="L57" s="55" t="s">
        <v>10</v>
      </c>
      <c r="M57" s="55" t="s">
        <v>11</v>
      </c>
      <c r="N57" s="39"/>
    </row>
    <row r="58" spans="1:15" x14ac:dyDescent="0.25">
      <c r="A58" s="38" t="s">
        <v>45</v>
      </c>
      <c r="B58" s="16" t="e">
        <f>#REF!</f>
        <v>#REF!</v>
      </c>
      <c r="C58" s="16" t="e">
        <f>#REF!</f>
        <v>#REF!</v>
      </c>
      <c r="D58" s="16" t="e">
        <f>#REF!</f>
        <v>#REF!</v>
      </c>
      <c r="E58" s="16" t="e">
        <f>#REF!</f>
        <v>#REF!</v>
      </c>
      <c r="F58" s="16" t="e">
        <f>#REF!</f>
        <v>#REF!</v>
      </c>
      <c r="G58" s="16" t="e">
        <f>#REF!</f>
        <v>#REF!</v>
      </c>
      <c r="H58" s="16" t="e">
        <f>#REF!</f>
        <v>#REF!</v>
      </c>
      <c r="I58" s="16" t="e">
        <f>#REF!</f>
        <v>#REF!</v>
      </c>
      <c r="J58" s="16" t="e">
        <f>#REF!</f>
        <v>#REF!</v>
      </c>
      <c r="K58" s="16" t="e">
        <f>#REF!</f>
        <v>#REF!</v>
      </c>
      <c r="L58" s="16" t="e">
        <f>#REF!</f>
        <v>#REF!</v>
      </c>
      <c r="M58" s="16" t="e">
        <f>#REF!</f>
        <v>#REF!</v>
      </c>
      <c r="N58" s="64"/>
    </row>
    <row r="59" spans="1:15" x14ac:dyDescent="0.25">
      <c r="A59" s="38" t="s">
        <v>53</v>
      </c>
      <c r="B59" s="16" t="e">
        <f>#REF!</f>
        <v>#REF!</v>
      </c>
      <c r="C59" s="16" t="e">
        <f>#REF!</f>
        <v>#REF!</v>
      </c>
      <c r="D59" s="16" t="e">
        <f>#REF!</f>
        <v>#REF!</v>
      </c>
      <c r="E59" s="16" t="e">
        <f>#REF!</f>
        <v>#REF!</v>
      </c>
      <c r="F59" s="16" t="e">
        <f>#REF!</f>
        <v>#REF!</v>
      </c>
      <c r="G59" s="16" t="e">
        <f>#REF!</f>
        <v>#REF!</v>
      </c>
      <c r="H59" s="16" t="e">
        <f>#REF!</f>
        <v>#REF!</v>
      </c>
      <c r="I59" s="16" t="e">
        <f>#REF!</f>
        <v>#REF!</v>
      </c>
      <c r="J59" s="16" t="e">
        <f>#REF!</f>
        <v>#REF!</v>
      </c>
      <c r="K59" s="16" t="e">
        <f>#REF!</f>
        <v>#REF!</v>
      </c>
      <c r="L59" s="16" t="e">
        <f>#REF!</f>
        <v>#REF!</v>
      </c>
      <c r="M59" s="16" t="e">
        <f>#REF!</f>
        <v>#REF!</v>
      </c>
      <c r="N59" s="64"/>
    </row>
    <row r="60" spans="1:15" x14ac:dyDescent="0.25">
      <c r="A60" s="52" t="s">
        <v>55</v>
      </c>
      <c r="B60" s="63" t="e">
        <f>B58+B59</f>
        <v>#REF!</v>
      </c>
      <c r="C60" s="63" t="e">
        <f t="shared" ref="C60:M60" si="7">C58+C59</f>
        <v>#REF!</v>
      </c>
      <c r="D60" s="63" t="e">
        <f t="shared" si="7"/>
        <v>#REF!</v>
      </c>
      <c r="E60" s="63" t="e">
        <f t="shared" si="7"/>
        <v>#REF!</v>
      </c>
      <c r="F60" s="63" t="e">
        <f t="shared" si="7"/>
        <v>#REF!</v>
      </c>
      <c r="G60" s="63" t="e">
        <f t="shared" si="7"/>
        <v>#REF!</v>
      </c>
      <c r="H60" s="63" t="e">
        <f t="shared" si="7"/>
        <v>#REF!</v>
      </c>
      <c r="I60" s="63" t="e">
        <f t="shared" si="7"/>
        <v>#REF!</v>
      </c>
      <c r="J60" s="63" t="e">
        <f t="shared" si="7"/>
        <v>#REF!</v>
      </c>
      <c r="K60" s="63" t="e">
        <f t="shared" si="7"/>
        <v>#REF!</v>
      </c>
      <c r="L60" s="51" t="e">
        <f t="shared" si="7"/>
        <v>#REF!</v>
      </c>
      <c r="M60" s="51" t="e">
        <f t="shared" si="7"/>
        <v>#REF!</v>
      </c>
      <c r="N60" s="64"/>
      <c r="O60" s="24"/>
    </row>
    <row r="62" spans="1:15" x14ac:dyDescent="0.25">
      <c r="A62" s="65" t="s">
        <v>58</v>
      </c>
      <c r="B62" s="66" t="e">
        <f>B60+B50+B40</f>
        <v>#REF!</v>
      </c>
      <c r="C62" s="66" t="e">
        <f t="shared" ref="C62:M62" si="8">C60+C50+C40</f>
        <v>#REF!</v>
      </c>
      <c r="D62" s="66" t="e">
        <f t="shared" si="8"/>
        <v>#REF!</v>
      </c>
      <c r="E62" s="66" t="e">
        <f t="shared" si="8"/>
        <v>#REF!</v>
      </c>
      <c r="F62" s="66" t="e">
        <f t="shared" si="8"/>
        <v>#REF!</v>
      </c>
      <c r="G62" s="66" t="e">
        <f t="shared" si="8"/>
        <v>#REF!</v>
      </c>
      <c r="H62" s="66" t="e">
        <f t="shared" si="8"/>
        <v>#REF!</v>
      </c>
      <c r="I62" s="66" t="e">
        <f t="shared" si="8"/>
        <v>#REF!</v>
      </c>
      <c r="J62" s="66" t="e">
        <f t="shared" si="8"/>
        <v>#REF!</v>
      </c>
      <c r="K62" s="66" t="e">
        <f t="shared" si="8"/>
        <v>#REF!</v>
      </c>
      <c r="L62" s="67" t="e">
        <f t="shared" si="8"/>
        <v>#REF!</v>
      </c>
      <c r="M62" s="67" t="e">
        <f t="shared" si="8"/>
        <v>#REF!</v>
      </c>
    </row>
    <row r="63" spans="1:15" x14ac:dyDescent="0.25">
      <c r="N63" s="16"/>
    </row>
    <row r="64" spans="1:15" x14ac:dyDescent="0.25">
      <c r="N64" s="24"/>
    </row>
  </sheetData>
  <mergeCells count="10">
    <mergeCell ref="O35:O36"/>
    <mergeCell ref="O45:O46"/>
    <mergeCell ref="A52:M52"/>
    <mergeCell ref="A42:M42"/>
    <mergeCell ref="A32:M32"/>
    <mergeCell ref="A24:M24"/>
    <mergeCell ref="A1:M1"/>
    <mergeCell ref="A8:M8"/>
    <mergeCell ref="A14:M16"/>
    <mergeCell ref="A17:M17"/>
  </mergeCells>
  <pageMargins left="0.511811024" right="0.511811024" top="0.78740157499999996" bottom="0.78740157499999996" header="0.31496062000000002" footer="0.31496062000000002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workbookViewId="0">
      <selection activeCell="A51" sqref="A51:O51"/>
    </sheetView>
  </sheetViews>
  <sheetFormatPr defaultRowHeight="15" x14ac:dyDescent="0.25"/>
  <cols>
    <col min="1" max="1" width="25.28515625" bestFit="1" customWidth="1"/>
    <col min="2" max="12" width="14.140625" bestFit="1" customWidth="1"/>
  </cols>
  <sheetData>
    <row r="1" spans="1:13" x14ac:dyDescent="0.25">
      <c r="A1" s="181" t="s">
        <v>59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</row>
    <row r="2" spans="1:13" x14ac:dyDescent="0.25">
      <c r="A2" s="43" t="s">
        <v>38</v>
      </c>
      <c r="B2" s="43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47</v>
      </c>
      <c r="I2" s="43" t="s">
        <v>7</v>
      </c>
      <c r="J2" s="43" t="s">
        <v>8</v>
      </c>
      <c r="K2" s="43" t="s">
        <v>9</v>
      </c>
      <c r="L2" s="43" t="s">
        <v>10</v>
      </c>
      <c r="M2" s="43" t="s">
        <v>11</v>
      </c>
    </row>
    <row r="3" spans="1:13" x14ac:dyDescent="0.25">
      <c r="A3" s="38" t="s">
        <v>14</v>
      </c>
      <c r="B3" s="16" t="e">
        <f>'ANÁLISE CONSUMO'!B40</f>
        <v>#REF!</v>
      </c>
      <c r="C3" s="16" t="e">
        <f>'ANÁLISE CONSUMO'!C40</f>
        <v>#REF!</v>
      </c>
      <c r="D3" s="16" t="e">
        <f>'ANÁLISE CONSUMO'!D40</f>
        <v>#REF!</v>
      </c>
      <c r="E3" s="16" t="e">
        <f>'ANÁLISE CONSUMO'!E40</f>
        <v>#REF!</v>
      </c>
      <c r="F3" s="16" t="e">
        <f>'ANÁLISE CONSUMO'!F40</f>
        <v>#REF!</v>
      </c>
      <c r="G3" s="16" t="e">
        <f>'ANÁLISE CONSUMO'!G40</f>
        <v>#REF!</v>
      </c>
      <c r="H3" s="16" t="e">
        <f>'ANÁLISE CONSUMO'!H40</f>
        <v>#REF!</v>
      </c>
      <c r="I3" s="16" t="e">
        <f>'ANÁLISE CONSUMO'!I40</f>
        <v>#REF!</v>
      </c>
      <c r="J3" s="16" t="e">
        <f>'ANÁLISE CONSUMO'!J40</f>
        <v>#REF!</v>
      </c>
      <c r="K3" s="16" t="e">
        <f>'ANÁLISE CONSUMO'!K40</f>
        <v>#REF!</v>
      </c>
      <c r="L3" s="16" t="e">
        <f>'ANÁLISE CONSUMO'!L40</f>
        <v>#REF!</v>
      </c>
      <c r="M3" s="62"/>
    </row>
    <row r="4" spans="1:13" x14ac:dyDescent="0.25">
      <c r="A4" s="38" t="s">
        <v>12</v>
      </c>
      <c r="B4" s="78" t="e">
        <f>'ANÁLISE CONSUMO'!B50</f>
        <v>#REF!</v>
      </c>
      <c r="C4" s="78" t="e">
        <f>'ANÁLISE CONSUMO'!C50</f>
        <v>#REF!</v>
      </c>
      <c r="D4" s="78" t="e">
        <f>'ANÁLISE CONSUMO'!D50</f>
        <v>#REF!</v>
      </c>
      <c r="E4" s="78" t="e">
        <f>'ANÁLISE CONSUMO'!E50</f>
        <v>#REF!</v>
      </c>
      <c r="F4" s="78" t="e">
        <f>'ANÁLISE CONSUMO'!F50</f>
        <v>#REF!</v>
      </c>
      <c r="G4" s="78" t="e">
        <f>'ANÁLISE CONSUMO'!G50</f>
        <v>#REF!</v>
      </c>
      <c r="H4" s="78" t="e">
        <f>'ANÁLISE CONSUMO'!H50</f>
        <v>#REF!</v>
      </c>
      <c r="I4" s="78" t="e">
        <f>'ANÁLISE CONSUMO'!I50</f>
        <v>#REF!</v>
      </c>
      <c r="J4" s="78" t="e">
        <f>'ANÁLISE CONSUMO'!J50</f>
        <v>#REF!</v>
      </c>
      <c r="K4" s="78" t="e">
        <f>'ANÁLISE CONSUMO'!K50</f>
        <v>#REF!</v>
      </c>
      <c r="L4" s="78" t="e">
        <f>'ANÁLISE CONSUMO'!L50</f>
        <v>#REF!</v>
      </c>
      <c r="M4" s="38"/>
    </row>
    <row r="5" spans="1:13" x14ac:dyDescent="0.25">
      <c r="A5" s="38" t="s">
        <v>13</v>
      </c>
      <c r="B5" s="16" t="e">
        <f>B3+B4</f>
        <v>#REF!</v>
      </c>
      <c r="C5" s="16" t="e">
        <f t="shared" ref="C5:L5" si="0">C3+C4</f>
        <v>#REF!</v>
      </c>
      <c r="D5" s="16" t="e">
        <f t="shared" si="0"/>
        <v>#REF!</v>
      </c>
      <c r="E5" s="16" t="e">
        <f t="shared" si="0"/>
        <v>#REF!</v>
      </c>
      <c r="F5" s="16" t="e">
        <f t="shared" si="0"/>
        <v>#REF!</v>
      </c>
      <c r="G5" s="16" t="e">
        <f t="shared" si="0"/>
        <v>#REF!</v>
      </c>
      <c r="H5" s="16" t="e">
        <f t="shared" si="0"/>
        <v>#REF!</v>
      </c>
      <c r="I5" s="16" t="e">
        <f t="shared" si="0"/>
        <v>#REF!</v>
      </c>
      <c r="J5" s="16" t="e">
        <f t="shared" si="0"/>
        <v>#REF!</v>
      </c>
      <c r="K5" s="16" t="e">
        <f t="shared" si="0"/>
        <v>#REF!</v>
      </c>
      <c r="L5" s="16" t="e">
        <f t="shared" si="0"/>
        <v>#REF!</v>
      </c>
      <c r="M5" s="38"/>
    </row>
    <row r="6" spans="1:13" x14ac:dyDescent="0.25">
      <c r="A6" s="54" t="s">
        <v>54</v>
      </c>
      <c r="B6" s="73" t="e">
        <f>SUM(B3:B5)</f>
        <v>#REF!</v>
      </c>
      <c r="C6" s="73" t="e">
        <f t="shared" ref="C6:L6" si="1">SUM(C3:C5)</f>
        <v>#REF!</v>
      </c>
      <c r="D6" s="73" t="e">
        <f t="shared" si="1"/>
        <v>#REF!</v>
      </c>
      <c r="E6" s="73" t="e">
        <f t="shared" si="1"/>
        <v>#REF!</v>
      </c>
      <c r="F6" s="73" t="e">
        <f t="shared" si="1"/>
        <v>#REF!</v>
      </c>
      <c r="G6" s="73" t="e">
        <f t="shared" si="1"/>
        <v>#REF!</v>
      </c>
      <c r="H6" s="73" t="e">
        <f t="shared" si="1"/>
        <v>#REF!</v>
      </c>
      <c r="I6" s="73" t="e">
        <f t="shared" si="1"/>
        <v>#REF!</v>
      </c>
      <c r="J6" s="73" t="e">
        <f t="shared" si="1"/>
        <v>#REF!</v>
      </c>
      <c r="K6" s="73" t="e">
        <f t="shared" si="1"/>
        <v>#REF!</v>
      </c>
      <c r="L6" s="73" t="e">
        <f t="shared" si="1"/>
        <v>#REF!</v>
      </c>
      <c r="M6" s="55"/>
    </row>
    <row r="9" spans="1:13" x14ac:dyDescent="0.25">
      <c r="A9" s="182" t="s">
        <v>60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</row>
    <row r="10" spans="1:13" x14ac:dyDescent="0.25">
      <c r="A10" s="74" t="s">
        <v>38</v>
      </c>
      <c r="B10" s="74" t="s">
        <v>1</v>
      </c>
      <c r="C10" s="74" t="s">
        <v>2</v>
      </c>
      <c r="D10" s="74" t="s">
        <v>3</v>
      </c>
      <c r="E10" s="74" t="s">
        <v>4</v>
      </c>
      <c r="F10" s="74" t="s">
        <v>5</v>
      </c>
      <c r="G10" s="74" t="s">
        <v>6</v>
      </c>
      <c r="H10" s="74" t="s">
        <v>47</v>
      </c>
      <c r="I10" s="74" t="s">
        <v>7</v>
      </c>
      <c r="J10" s="74" t="s">
        <v>8</v>
      </c>
      <c r="K10" s="74" t="s">
        <v>9</v>
      </c>
      <c r="L10" s="74" t="s">
        <v>10</v>
      </c>
      <c r="M10" s="74" t="s">
        <v>11</v>
      </c>
    </row>
    <row r="11" spans="1:13" x14ac:dyDescent="0.25">
      <c r="A11" s="38" t="s">
        <v>14</v>
      </c>
      <c r="B11" s="16" t="e">
        <f>B3*50%</f>
        <v>#REF!</v>
      </c>
      <c r="C11" s="16" t="e">
        <f t="shared" ref="C11:L11" si="2">C3*50%</f>
        <v>#REF!</v>
      </c>
      <c r="D11" s="16" t="e">
        <f t="shared" si="2"/>
        <v>#REF!</v>
      </c>
      <c r="E11" s="16" t="e">
        <f t="shared" si="2"/>
        <v>#REF!</v>
      </c>
      <c r="F11" s="16" t="e">
        <f t="shared" si="2"/>
        <v>#REF!</v>
      </c>
      <c r="G11" s="16" t="e">
        <f t="shared" si="2"/>
        <v>#REF!</v>
      </c>
      <c r="H11" s="16" t="e">
        <f t="shared" si="2"/>
        <v>#REF!</v>
      </c>
      <c r="I11" s="16" t="e">
        <f t="shared" si="2"/>
        <v>#REF!</v>
      </c>
      <c r="J11" s="16" t="e">
        <f t="shared" si="2"/>
        <v>#REF!</v>
      </c>
      <c r="K11" s="16" t="e">
        <f t="shared" si="2"/>
        <v>#REF!</v>
      </c>
      <c r="L11" s="16" t="e">
        <f t="shared" si="2"/>
        <v>#REF!</v>
      </c>
      <c r="M11" s="62"/>
    </row>
    <row r="12" spans="1:13" x14ac:dyDescent="0.25">
      <c r="A12" s="38" t="s">
        <v>12</v>
      </c>
      <c r="B12" s="16" t="e">
        <f t="shared" ref="B12:L13" si="3">B4*50%</f>
        <v>#REF!</v>
      </c>
      <c r="C12" s="16" t="e">
        <f t="shared" si="3"/>
        <v>#REF!</v>
      </c>
      <c r="D12" s="16" t="e">
        <f t="shared" si="3"/>
        <v>#REF!</v>
      </c>
      <c r="E12" s="16" t="e">
        <f t="shared" si="3"/>
        <v>#REF!</v>
      </c>
      <c r="F12" s="16" t="e">
        <f t="shared" si="3"/>
        <v>#REF!</v>
      </c>
      <c r="G12" s="16" t="e">
        <f t="shared" si="3"/>
        <v>#REF!</v>
      </c>
      <c r="H12" s="16" t="e">
        <f t="shared" si="3"/>
        <v>#REF!</v>
      </c>
      <c r="I12" s="16" t="e">
        <f t="shared" si="3"/>
        <v>#REF!</v>
      </c>
      <c r="J12" s="16" t="e">
        <f t="shared" si="3"/>
        <v>#REF!</v>
      </c>
      <c r="K12" s="16" t="e">
        <f t="shared" si="3"/>
        <v>#REF!</v>
      </c>
      <c r="L12" s="16" t="e">
        <f t="shared" si="3"/>
        <v>#REF!</v>
      </c>
      <c r="M12" s="38"/>
    </row>
    <row r="13" spans="1:13" x14ac:dyDescent="0.25">
      <c r="A13" s="38" t="s">
        <v>13</v>
      </c>
      <c r="B13" s="16" t="e">
        <f t="shared" si="3"/>
        <v>#REF!</v>
      </c>
      <c r="C13" s="16" t="e">
        <f t="shared" si="3"/>
        <v>#REF!</v>
      </c>
      <c r="D13" s="16" t="e">
        <f t="shared" si="3"/>
        <v>#REF!</v>
      </c>
      <c r="E13" s="16" t="e">
        <f t="shared" si="3"/>
        <v>#REF!</v>
      </c>
      <c r="F13" s="16" t="e">
        <f t="shared" si="3"/>
        <v>#REF!</v>
      </c>
      <c r="G13" s="16" t="e">
        <f t="shared" si="3"/>
        <v>#REF!</v>
      </c>
      <c r="H13" s="16" t="e">
        <f t="shared" si="3"/>
        <v>#REF!</v>
      </c>
      <c r="I13" s="16" t="e">
        <f t="shared" si="3"/>
        <v>#REF!</v>
      </c>
      <c r="J13" s="16" t="e">
        <f t="shared" si="3"/>
        <v>#REF!</v>
      </c>
      <c r="K13" s="16" t="e">
        <f t="shared" si="3"/>
        <v>#REF!</v>
      </c>
      <c r="L13" s="16" t="e">
        <f t="shared" si="3"/>
        <v>#REF!</v>
      </c>
      <c r="M13" s="38"/>
    </row>
    <row r="14" spans="1:13" x14ac:dyDescent="0.25">
      <c r="A14" s="75" t="s">
        <v>54</v>
      </c>
      <c r="B14" s="76" t="e">
        <f>SUM(B11:B13)</f>
        <v>#REF!</v>
      </c>
      <c r="C14" s="76" t="e">
        <f t="shared" ref="C14" si="4">SUM(C11:C13)</f>
        <v>#REF!</v>
      </c>
      <c r="D14" s="76" t="e">
        <f t="shared" ref="D14" si="5">SUM(D11:D13)</f>
        <v>#REF!</v>
      </c>
      <c r="E14" s="76" t="e">
        <f t="shared" ref="E14" si="6">SUM(E11:E13)</f>
        <v>#REF!</v>
      </c>
      <c r="F14" s="76" t="e">
        <f t="shared" ref="F14" si="7">SUM(F11:F13)</f>
        <v>#REF!</v>
      </c>
      <c r="G14" s="76" t="e">
        <f t="shared" ref="G14" si="8">SUM(G11:G13)</f>
        <v>#REF!</v>
      </c>
      <c r="H14" s="76" t="e">
        <f t="shared" ref="H14" si="9">SUM(H11:H13)</f>
        <v>#REF!</v>
      </c>
      <c r="I14" s="76" t="e">
        <f t="shared" ref="I14" si="10">SUM(I11:I13)</f>
        <v>#REF!</v>
      </c>
      <c r="J14" s="76" t="e">
        <f t="shared" ref="J14" si="11">SUM(J11:J13)</f>
        <v>#REF!</v>
      </c>
      <c r="K14" s="76" t="e">
        <f t="shared" ref="K14" si="12">SUM(K11:K13)</f>
        <v>#REF!</v>
      </c>
      <c r="L14" s="76" t="e">
        <f t="shared" ref="L14" si="13">SUM(L11:L13)</f>
        <v>#REF!</v>
      </c>
      <c r="M14" s="77"/>
    </row>
    <row r="20" spans="1:13" x14ac:dyDescent="0.25">
      <c r="A20" s="183" t="s">
        <v>51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1:13" x14ac:dyDescent="0.25">
      <c r="A21" s="47"/>
      <c r="B21" s="47" t="s">
        <v>1</v>
      </c>
      <c r="C21" s="47" t="s">
        <v>2</v>
      </c>
      <c r="D21" s="47" t="s">
        <v>3</v>
      </c>
      <c r="E21" s="47" t="s">
        <v>4</v>
      </c>
      <c r="F21" s="47" t="s">
        <v>5</v>
      </c>
      <c r="G21" s="47" t="s">
        <v>6</v>
      </c>
      <c r="H21" s="47" t="s">
        <v>47</v>
      </c>
      <c r="I21" s="47" t="s">
        <v>7</v>
      </c>
      <c r="J21" s="47" t="s">
        <v>8</v>
      </c>
      <c r="K21" s="47" t="s">
        <v>9</v>
      </c>
      <c r="L21" s="47" t="s">
        <v>10</v>
      </c>
      <c r="M21" s="47" t="s">
        <v>11</v>
      </c>
    </row>
    <row r="22" spans="1:13" x14ac:dyDescent="0.25">
      <c r="A22" s="38" t="s">
        <v>14</v>
      </c>
      <c r="B22" s="16" t="e">
        <f>'ANÁLISE CONSUMO'!B26</f>
        <v>#REF!</v>
      </c>
      <c r="C22" s="16" t="e">
        <f>'ANÁLISE CONSUMO'!C26</f>
        <v>#REF!</v>
      </c>
      <c r="D22" s="16" t="e">
        <f>'ANÁLISE CONSUMO'!D26</f>
        <v>#REF!</v>
      </c>
      <c r="E22" s="16" t="e">
        <f>'ANÁLISE CONSUMO'!E26</f>
        <v>#REF!</v>
      </c>
      <c r="F22" s="16" t="e">
        <f>'ANÁLISE CONSUMO'!F26</f>
        <v>#REF!</v>
      </c>
      <c r="G22" s="16" t="e">
        <f>'ANÁLISE CONSUMO'!G26</f>
        <v>#REF!</v>
      </c>
      <c r="H22" s="16" t="e">
        <f>'ANÁLISE CONSUMO'!H26</f>
        <v>#REF!</v>
      </c>
      <c r="I22" s="16" t="e">
        <f>'ANÁLISE CONSUMO'!I26</f>
        <v>#REF!</v>
      </c>
      <c r="J22" s="16" t="e">
        <f>'ANÁLISE CONSUMO'!J26</f>
        <v>#REF!</v>
      </c>
      <c r="K22" s="16" t="e">
        <f>'ANÁLISE CONSUMO'!K26</f>
        <v>#REF!</v>
      </c>
      <c r="L22" s="16" t="e">
        <f>'ANÁLISE CONSUMO'!L26</f>
        <v>#REF!</v>
      </c>
      <c r="M22" s="16" t="e">
        <f>#REF!</f>
        <v>#REF!</v>
      </c>
    </row>
    <row r="23" spans="1:13" x14ac:dyDescent="0.25">
      <c r="A23" s="38" t="s">
        <v>12</v>
      </c>
      <c r="B23" s="16" t="e">
        <f>'ANÁLISE CONSUMO'!B27</f>
        <v>#REF!</v>
      </c>
      <c r="C23" s="16" t="e">
        <f>'ANÁLISE CONSUMO'!C27</f>
        <v>#REF!</v>
      </c>
      <c r="D23" s="16" t="e">
        <f>'ANÁLISE CONSUMO'!D27</f>
        <v>#REF!</v>
      </c>
      <c r="E23" s="16" t="e">
        <f>'ANÁLISE CONSUMO'!E27</f>
        <v>#REF!</v>
      </c>
      <c r="F23" s="16" t="e">
        <f>'ANÁLISE CONSUMO'!F27</f>
        <v>#REF!</v>
      </c>
      <c r="G23" s="16" t="e">
        <f>'ANÁLISE CONSUMO'!G27</f>
        <v>#REF!</v>
      </c>
      <c r="H23" s="16" t="e">
        <f>'ANÁLISE CONSUMO'!H27</f>
        <v>#REF!</v>
      </c>
      <c r="I23" s="16" t="e">
        <f>'ANÁLISE CONSUMO'!I27</f>
        <v>#REF!</v>
      </c>
      <c r="J23" s="16" t="e">
        <f>'ANÁLISE CONSUMO'!J27</f>
        <v>#REF!</v>
      </c>
      <c r="K23" s="16" t="e">
        <f>'ANÁLISE CONSUMO'!K27</f>
        <v>#REF!</v>
      </c>
      <c r="L23" s="16" t="e">
        <f>'ANÁLISE CONSUMO'!L27</f>
        <v>#REF!</v>
      </c>
      <c r="M23" s="16" t="e">
        <f>#REF!</f>
        <v>#REF!</v>
      </c>
    </row>
    <row r="24" spans="1:13" x14ac:dyDescent="0.25">
      <c r="A24" s="38" t="s">
        <v>46</v>
      </c>
      <c r="B24" s="16" t="e">
        <f>'ANÁLISE CONSUMO'!B28</f>
        <v>#REF!</v>
      </c>
      <c r="C24" s="16" t="e">
        <f>'ANÁLISE CONSUMO'!C28</f>
        <v>#REF!</v>
      </c>
      <c r="D24" s="16" t="e">
        <f>'ANÁLISE CONSUMO'!D28</f>
        <v>#REF!</v>
      </c>
      <c r="E24" s="16" t="e">
        <f>'ANÁLISE CONSUMO'!E28</f>
        <v>#REF!</v>
      </c>
      <c r="F24" s="16" t="e">
        <f>'ANÁLISE CONSUMO'!F28</f>
        <v>#REF!</v>
      </c>
      <c r="G24" s="16" t="e">
        <f>'ANÁLISE CONSUMO'!G28</f>
        <v>#REF!</v>
      </c>
      <c r="H24" s="16" t="e">
        <f>'ANÁLISE CONSUMO'!H28</f>
        <v>#REF!</v>
      </c>
      <c r="I24" s="16" t="e">
        <f>'ANÁLISE CONSUMO'!I28</f>
        <v>#REF!</v>
      </c>
      <c r="J24" s="16" t="e">
        <f>'ANÁLISE CONSUMO'!J28</f>
        <v>#REF!</v>
      </c>
      <c r="K24" s="16" t="e">
        <f>'ANÁLISE CONSUMO'!K28</f>
        <v>#REF!</v>
      </c>
      <c r="L24" s="16" t="e">
        <f>'ANÁLISE CONSUMO'!L28</f>
        <v>#REF!</v>
      </c>
      <c r="M24" s="16" t="e">
        <f>#REF!</f>
        <v>#REF!</v>
      </c>
    </row>
    <row r="25" spans="1:13" x14ac:dyDescent="0.25">
      <c r="A25" s="48" t="s">
        <v>37</v>
      </c>
      <c r="B25" s="49" t="e">
        <f>SUM(B22:B24)</f>
        <v>#REF!</v>
      </c>
      <c r="C25" s="49" t="e">
        <f>SUM(C22:C24)</f>
        <v>#REF!</v>
      </c>
      <c r="D25" s="49" t="e">
        <f t="shared" ref="D25:M25" si="14">SUM(D22:D24)</f>
        <v>#REF!</v>
      </c>
      <c r="E25" s="49" t="e">
        <f t="shared" si="14"/>
        <v>#REF!</v>
      </c>
      <c r="F25" s="49" t="e">
        <f t="shared" si="14"/>
        <v>#REF!</v>
      </c>
      <c r="G25" s="49" t="e">
        <f t="shared" si="14"/>
        <v>#REF!</v>
      </c>
      <c r="H25" s="49" t="e">
        <f t="shared" si="14"/>
        <v>#REF!</v>
      </c>
      <c r="I25" s="49" t="e">
        <f t="shared" si="14"/>
        <v>#REF!</v>
      </c>
      <c r="J25" s="49" t="e">
        <f t="shared" si="14"/>
        <v>#REF!</v>
      </c>
      <c r="K25" s="49" t="e">
        <f t="shared" si="14"/>
        <v>#REF!</v>
      </c>
      <c r="L25" s="49" t="e">
        <f t="shared" si="14"/>
        <v>#REF!</v>
      </c>
      <c r="M25" s="49" t="e">
        <f t="shared" si="14"/>
        <v>#REF!</v>
      </c>
    </row>
    <row r="27" spans="1:13" x14ac:dyDescent="0.25">
      <c r="A27" s="181" t="s">
        <v>64</v>
      </c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</row>
    <row r="28" spans="1:13" x14ac:dyDescent="0.25">
      <c r="A28" s="43"/>
      <c r="B28" s="43" t="s">
        <v>1</v>
      </c>
      <c r="C28" s="43" t="s">
        <v>2</v>
      </c>
      <c r="D28" s="43" t="s">
        <v>3</v>
      </c>
      <c r="E28" s="43" t="s">
        <v>4</v>
      </c>
      <c r="F28" s="43" t="s">
        <v>5</v>
      </c>
      <c r="G28" s="43" t="s">
        <v>6</v>
      </c>
      <c r="H28" s="43" t="s">
        <v>47</v>
      </c>
      <c r="I28" s="43" t="s">
        <v>7</v>
      </c>
      <c r="J28" s="43" t="s">
        <v>8</v>
      </c>
      <c r="K28" s="43" t="s">
        <v>9</v>
      </c>
      <c r="L28" s="43" t="s">
        <v>10</v>
      </c>
      <c r="M28" s="43" t="s">
        <v>11</v>
      </c>
    </row>
    <row r="29" spans="1:13" x14ac:dyDescent="0.25">
      <c r="A29" s="38" t="s">
        <v>14</v>
      </c>
      <c r="B29" s="16" t="e">
        <f>'ANÁLISE CONSUMO'!B10</f>
        <v>#REF!</v>
      </c>
      <c r="C29" s="16" t="e">
        <f>'ANÁLISE CONSUMO'!C10</f>
        <v>#REF!</v>
      </c>
      <c r="D29" s="16" t="e">
        <f>'ANÁLISE CONSUMO'!D10</f>
        <v>#REF!</v>
      </c>
      <c r="E29" s="16" t="e">
        <f>'ANÁLISE CONSUMO'!E10</f>
        <v>#REF!</v>
      </c>
      <c r="F29" s="16" t="e">
        <f>'ANÁLISE CONSUMO'!F10</f>
        <v>#REF!</v>
      </c>
      <c r="G29" s="16" t="e">
        <f>'ANÁLISE CONSUMO'!G10</f>
        <v>#REF!</v>
      </c>
      <c r="H29" s="16" t="e">
        <f>'ANÁLISE CONSUMO'!H10</f>
        <v>#REF!</v>
      </c>
      <c r="I29" s="16" t="e">
        <f>'ANÁLISE CONSUMO'!I10</f>
        <v>#REF!</v>
      </c>
      <c r="J29" s="16" t="e">
        <f>'ANÁLISE CONSUMO'!J10</f>
        <v>#REF!</v>
      </c>
      <c r="K29" s="16" t="e">
        <f>'ANÁLISE CONSUMO'!K10</f>
        <v>#REF!</v>
      </c>
      <c r="L29" s="16" t="e">
        <f>'ANÁLISE CONSUMO'!L10</f>
        <v>#REF!</v>
      </c>
      <c r="M29" s="16" t="e">
        <f>#REF!</f>
        <v>#REF!</v>
      </c>
    </row>
    <row r="30" spans="1:13" x14ac:dyDescent="0.25">
      <c r="A30" s="38" t="s">
        <v>12</v>
      </c>
      <c r="B30" s="16" t="e">
        <f>'ANÁLISE CONSUMO'!B11</f>
        <v>#REF!</v>
      </c>
      <c r="C30" s="16" t="e">
        <f>'ANÁLISE CONSUMO'!C11</f>
        <v>#REF!</v>
      </c>
      <c r="D30" s="16" t="e">
        <f>'ANÁLISE CONSUMO'!D11</f>
        <v>#REF!</v>
      </c>
      <c r="E30" s="16" t="e">
        <f>'ANÁLISE CONSUMO'!E11</f>
        <v>#REF!</v>
      </c>
      <c r="F30" s="16" t="e">
        <f>'ANÁLISE CONSUMO'!F11</f>
        <v>#REF!</v>
      </c>
      <c r="G30" s="16" t="e">
        <f>'ANÁLISE CONSUMO'!G11</f>
        <v>#REF!</v>
      </c>
      <c r="H30" s="16" t="e">
        <f>'ANÁLISE CONSUMO'!H11</f>
        <v>#REF!</v>
      </c>
      <c r="I30" s="16" t="e">
        <f>'ANÁLISE CONSUMO'!I11</f>
        <v>#REF!</v>
      </c>
      <c r="J30" s="16" t="e">
        <f>'ANÁLISE CONSUMO'!J11</f>
        <v>#REF!</v>
      </c>
      <c r="K30" s="16" t="e">
        <f>'ANÁLISE CONSUMO'!K11</f>
        <v>#REF!</v>
      </c>
      <c r="L30" s="16" t="e">
        <f>'ANÁLISE CONSUMO'!L11</f>
        <v>#REF!</v>
      </c>
      <c r="M30" s="16" t="e">
        <f>#REF!</f>
        <v>#REF!</v>
      </c>
    </row>
    <row r="31" spans="1:13" x14ac:dyDescent="0.25">
      <c r="A31" s="38" t="s">
        <v>46</v>
      </c>
      <c r="B31" s="16" t="e">
        <f>'ANÁLISE CONSUMO'!B12</f>
        <v>#REF!</v>
      </c>
      <c r="C31" s="16" t="e">
        <f>'ANÁLISE CONSUMO'!C12</f>
        <v>#REF!</v>
      </c>
      <c r="D31" s="16" t="e">
        <f>'ANÁLISE CONSUMO'!D12</f>
        <v>#REF!</v>
      </c>
      <c r="E31" s="16" t="e">
        <f>'ANÁLISE CONSUMO'!E12</f>
        <v>#REF!</v>
      </c>
      <c r="F31" s="16" t="e">
        <f>'ANÁLISE CONSUMO'!F12</f>
        <v>#REF!</v>
      </c>
      <c r="G31" s="16" t="e">
        <f>'ANÁLISE CONSUMO'!G12</f>
        <v>#REF!</v>
      </c>
      <c r="H31" s="16" t="e">
        <f>'ANÁLISE CONSUMO'!H12</f>
        <v>#REF!</v>
      </c>
      <c r="I31" s="16" t="e">
        <f>'ANÁLISE CONSUMO'!I12</f>
        <v>#REF!</v>
      </c>
      <c r="J31" s="16" t="e">
        <f>'ANÁLISE CONSUMO'!J12</f>
        <v>#REF!</v>
      </c>
      <c r="K31" s="16" t="e">
        <f>'ANÁLISE CONSUMO'!K12</f>
        <v>#REF!</v>
      </c>
      <c r="L31" s="16" t="e">
        <f>'ANÁLISE CONSUMO'!L12</f>
        <v>#REF!</v>
      </c>
      <c r="M31" s="16" t="e">
        <f>#REF!</f>
        <v>#REF!</v>
      </c>
    </row>
    <row r="32" spans="1:13" x14ac:dyDescent="0.25">
      <c r="A32" s="45" t="s">
        <v>37</v>
      </c>
      <c r="B32" s="46" t="e">
        <f>SUM(B29:B31)</f>
        <v>#REF!</v>
      </c>
      <c r="C32" s="46" t="e">
        <f t="shared" ref="C32:M32" si="15">SUM(C29:C31)</f>
        <v>#REF!</v>
      </c>
      <c r="D32" s="46" t="e">
        <f t="shared" si="15"/>
        <v>#REF!</v>
      </c>
      <c r="E32" s="46" t="e">
        <f t="shared" si="15"/>
        <v>#REF!</v>
      </c>
      <c r="F32" s="46" t="e">
        <f t="shared" si="15"/>
        <v>#REF!</v>
      </c>
      <c r="G32" s="46" t="e">
        <f t="shared" si="15"/>
        <v>#REF!</v>
      </c>
      <c r="H32" s="46" t="e">
        <f t="shared" si="15"/>
        <v>#REF!</v>
      </c>
      <c r="I32" s="46" t="e">
        <f t="shared" si="15"/>
        <v>#REF!</v>
      </c>
      <c r="J32" s="46" t="e">
        <f t="shared" si="15"/>
        <v>#REF!</v>
      </c>
      <c r="K32" s="46" t="e">
        <f t="shared" si="15"/>
        <v>#REF!</v>
      </c>
      <c r="L32" s="46" t="e">
        <f t="shared" si="15"/>
        <v>#REF!</v>
      </c>
      <c r="M32" s="46" t="e">
        <f t="shared" si="15"/>
        <v>#REF!</v>
      </c>
    </row>
    <row r="35" spans="1:13" x14ac:dyDescent="0.25">
      <c r="A35" s="79" t="s">
        <v>61</v>
      </c>
      <c r="B35" s="21" t="e">
        <f>B25+B32</f>
        <v>#REF!</v>
      </c>
      <c r="C35" s="21" t="e">
        <f t="shared" ref="C35:M35" si="16">C25+C32</f>
        <v>#REF!</v>
      </c>
      <c r="D35" s="21" t="e">
        <f t="shared" si="16"/>
        <v>#REF!</v>
      </c>
      <c r="E35" s="21" t="e">
        <f t="shared" si="16"/>
        <v>#REF!</v>
      </c>
      <c r="F35" s="21" t="e">
        <f t="shared" si="16"/>
        <v>#REF!</v>
      </c>
      <c r="G35" s="21" t="e">
        <f t="shared" si="16"/>
        <v>#REF!</v>
      </c>
      <c r="H35" s="21" t="e">
        <f t="shared" si="16"/>
        <v>#REF!</v>
      </c>
      <c r="I35" s="21" t="e">
        <f t="shared" si="16"/>
        <v>#REF!</v>
      </c>
      <c r="J35" s="21" t="e">
        <f t="shared" si="16"/>
        <v>#REF!</v>
      </c>
      <c r="K35" s="21" t="e">
        <f t="shared" si="16"/>
        <v>#REF!</v>
      </c>
      <c r="L35" s="21" t="e">
        <f t="shared" si="16"/>
        <v>#REF!</v>
      </c>
      <c r="M35" s="21" t="e">
        <f t="shared" si="16"/>
        <v>#REF!</v>
      </c>
    </row>
    <row r="36" spans="1:13" x14ac:dyDescent="0.25">
      <c r="A36" s="5" t="s">
        <v>63</v>
      </c>
      <c r="B36" s="16" t="e">
        <f>B35*17.5%</f>
        <v>#REF!</v>
      </c>
      <c r="C36" s="16" t="e">
        <f>C35*17.5%</f>
        <v>#REF!</v>
      </c>
      <c r="D36" s="16" t="e">
        <f>D35*17.5%</f>
        <v>#REF!</v>
      </c>
      <c r="E36" s="16" t="e">
        <f t="shared" ref="E36:L36" si="17">E35*17.5%</f>
        <v>#REF!</v>
      </c>
      <c r="F36" s="16" t="e">
        <f t="shared" si="17"/>
        <v>#REF!</v>
      </c>
      <c r="G36" s="16" t="e">
        <f t="shared" si="17"/>
        <v>#REF!</v>
      </c>
      <c r="H36" s="16" t="e">
        <f t="shared" si="17"/>
        <v>#REF!</v>
      </c>
      <c r="I36" s="16" t="e">
        <f t="shared" si="17"/>
        <v>#REF!</v>
      </c>
      <c r="J36" s="16" t="e">
        <f t="shared" si="17"/>
        <v>#REF!</v>
      </c>
      <c r="K36" s="16" t="e">
        <f t="shared" si="17"/>
        <v>#REF!</v>
      </c>
      <c r="L36" s="16" t="e">
        <f t="shared" si="17"/>
        <v>#REF!</v>
      </c>
      <c r="M36" s="16" t="e">
        <f t="shared" ref="M36" si="18">M35*18.5%</f>
        <v>#REF!</v>
      </c>
    </row>
    <row r="37" spans="1:13" x14ac:dyDescent="0.25">
      <c r="A37" s="80" t="s">
        <v>62</v>
      </c>
      <c r="B37" s="81" t="e">
        <f>B35-B36</f>
        <v>#REF!</v>
      </c>
      <c r="C37" s="81" t="e">
        <f t="shared" ref="C37:M37" si="19">C35-C36</f>
        <v>#REF!</v>
      </c>
      <c r="D37" s="81" t="e">
        <f t="shared" si="19"/>
        <v>#REF!</v>
      </c>
      <c r="E37" s="81" t="e">
        <f t="shared" si="19"/>
        <v>#REF!</v>
      </c>
      <c r="F37" s="81" t="e">
        <f t="shared" si="19"/>
        <v>#REF!</v>
      </c>
      <c r="G37" s="81" t="e">
        <f t="shared" si="19"/>
        <v>#REF!</v>
      </c>
      <c r="H37" s="81" t="e">
        <f t="shared" si="19"/>
        <v>#REF!</v>
      </c>
      <c r="I37" s="81" t="e">
        <f t="shared" si="19"/>
        <v>#REF!</v>
      </c>
      <c r="J37" s="81" t="e">
        <f t="shared" si="19"/>
        <v>#REF!</v>
      </c>
      <c r="K37" s="81" t="e">
        <f t="shared" si="19"/>
        <v>#REF!</v>
      </c>
      <c r="L37" s="81" t="e">
        <f t="shared" si="19"/>
        <v>#REF!</v>
      </c>
      <c r="M37" s="81" t="e">
        <f t="shared" si="19"/>
        <v>#REF!</v>
      </c>
    </row>
    <row r="40" spans="1:13" ht="15.75" x14ac:dyDescent="0.25">
      <c r="A40" t="s">
        <v>68</v>
      </c>
      <c r="B40" s="34" t="e">
        <f>#REF!</f>
        <v>#REF!</v>
      </c>
      <c r="C40" s="34" t="e">
        <f>#REF!</f>
        <v>#REF!</v>
      </c>
      <c r="D40" s="34" t="e">
        <f>#REF!</f>
        <v>#REF!</v>
      </c>
      <c r="E40" s="34" t="e">
        <f>#REF!</f>
        <v>#REF!</v>
      </c>
      <c r="F40" s="34" t="e">
        <f>#REF!</f>
        <v>#REF!</v>
      </c>
      <c r="G40" s="34" t="e">
        <f>#REF!</f>
        <v>#REF!</v>
      </c>
      <c r="H40" s="34" t="e">
        <f>#REF!</f>
        <v>#REF!</v>
      </c>
      <c r="I40" s="34" t="e">
        <f>#REF!</f>
        <v>#REF!</v>
      </c>
      <c r="J40" s="34" t="e">
        <f>#REF!</f>
        <v>#REF!</v>
      </c>
      <c r="K40" s="34" t="e">
        <f>#REF!</f>
        <v>#REF!</v>
      </c>
      <c r="L40" s="34" t="e">
        <f>#REF!</f>
        <v>#REF!</v>
      </c>
    </row>
    <row r="43" spans="1:13" ht="30" x14ac:dyDescent="0.25">
      <c r="A43" s="87" t="s">
        <v>65</v>
      </c>
      <c r="B43" s="86" t="e">
        <f t="shared" ref="B43:L43" si="20">B14+1350</f>
        <v>#REF!</v>
      </c>
      <c r="C43" s="86" t="e">
        <f t="shared" si="20"/>
        <v>#REF!</v>
      </c>
      <c r="D43" s="86" t="e">
        <f t="shared" si="20"/>
        <v>#REF!</v>
      </c>
      <c r="E43" s="86" t="e">
        <f t="shared" si="20"/>
        <v>#REF!</v>
      </c>
      <c r="F43" s="86" t="e">
        <f t="shared" si="20"/>
        <v>#REF!</v>
      </c>
      <c r="G43" s="86" t="e">
        <f t="shared" si="20"/>
        <v>#REF!</v>
      </c>
      <c r="H43" s="86" t="e">
        <f t="shared" si="20"/>
        <v>#REF!</v>
      </c>
      <c r="I43" s="86" t="e">
        <f t="shared" si="20"/>
        <v>#REF!</v>
      </c>
      <c r="J43" s="86" t="e">
        <f t="shared" si="20"/>
        <v>#REF!</v>
      </c>
      <c r="K43" s="86" t="e">
        <f t="shared" si="20"/>
        <v>#REF!</v>
      </c>
      <c r="L43" s="86" t="e">
        <f t="shared" si="20"/>
        <v>#REF!</v>
      </c>
    </row>
    <row r="44" spans="1:13" x14ac:dyDescent="0.25">
      <c r="A44" s="88" t="s">
        <v>66</v>
      </c>
      <c r="B44" s="83" t="e">
        <f>B37</f>
        <v>#REF!</v>
      </c>
      <c r="C44" s="83" t="e">
        <f t="shared" ref="C44:L44" si="21">C37</f>
        <v>#REF!</v>
      </c>
      <c r="D44" s="83" t="e">
        <f t="shared" si="21"/>
        <v>#REF!</v>
      </c>
      <c r="E44" s="83" t="e">
        <f t="shared" si="21"/>
        <v>#REF!</v>
      </c>
      <c r="F44" s="83" t="e">
        <f t="shared" si="21"/>
        <v>#REF!</v>
      </c>
      <c r="G44" s="83" t="e">
        <f t="shared" si="21"/>
        <v>#REF!</v>
      </c>
      <c r="H44" s="83" t="e">
        <f t="shared" si="21"/>
        <v>#REF!</v>
      </c>
      <c r="I44" s="83" t="e">
        <f t="shared" si="21"/>
        <v>#REF!</v>
      </c>
      <c r="J44" s="83" t="e">
        <f t="shared" si="21"/>
        <v>#REF!</v>
      </c>
      <c r="K44" s="83" t="e">
        <f t="shared" si="21"/>
        <v>#REF!</v>
      </c>
      <c r="L44" s="83" t="e">
        <f t="shared" si="21"/>
        <v>#REF!</v>
      </c>
    </row>
    <row r="45" spans="1:13" x14ac:dyDescent="0.25">
      <c r="A45" s="89" t="s">
        <v>37</v>
      </c>
      <c r="B45" s="85" t="e">
        <f t="shared" ref="B45:L45" si="22">B43+B44</f>
        <v>#REF!</v>
      </c>
      <c r="C45" s="85" t="e">
        <f t="shared" si="22"/>
        <v>#REF!</v>
      </c>
      <c r="D45" s="85" t="e">
        <f t="shared" si="22"/>
        <v>#REF!</v>
      </c>
      <c r="E45" s="85" t="e">
        <f t="shared" si="22"/>
        <v>#REF!</v>
      </c>
      <c r="F45" s="85" t="e">
        <f t="shared" si="22"/>
        <v>#REF!</v>
      </c>
      <c r="G45" s="85" t="e">
        <f t="shared" si="22"/>
        <v>#REF!</v>
      </c>
      <c r="H45" s="85" t="e">
        <f t="shared" si="22"/>
        <v>#REF!</v>
      </c>
      <c r="I45" s="85" t="e">
        <f t="shared" si="22"/>
        <v>#REF!</v>
      </c>
      <c r="J45" s="85" t="e">
        <f t="shared" si="22"/>
        <v>#REF!</v>
      </c>
      <c r="K45" s="85" t="e">
        <f t="shared" si="22"/>
        <v>#REF!</v>
      </c>
      <c r="L45" s="85" t="e">
        <f t="shared" si="22"/>
        <v>#REF!</v>
      </c>
    </row>
    <row r="46" spans="1:13" x14ac:dyDescent="0.25">
      <c r="A46" s="90" t="s">
        <v>67</v>
      </c>
      <c r="B46" s="84" t="e">
        <f>B40-B45</f>
        <v>#REF!</v>
      </c>
      <c r="C46" s="84" t="e">
        <f t="shared" ref="C46:L46" si="23">C40-C45</f>
        <v>#REF!</v>
      </c>
      <c r="D46" s="84" t="e">
        <f t="shared" si="23"/>
        <v>#REF!</v>
      </c>
      <c r="E46" s="84" t="e">
        <f t="shared" si="23"/>
        <v>#REF!</v>
      </c>
      <c r="F46" s="84" t="e">
        <f t="shared" si="23"/>
        <v>#REF!</v>
      </c>
      <c r="G46" s="84" t="e">
        <f t="shared" si="23"/>
        <v>#REF!</v>
      </c>
      <c r="H46" s="84" t="e">
        <f t="shared" si="23"/>
        <v>#REF!</v>
      </c>
      <c r="I46" s="84" t="e">
        <f t="shared" si="23"/>
        <v>#REF!</v>
      </c>
      <c r="J46" s="84" t="e">
        <f t="shared" si="23"/>
        <v>#REF!</v>
      </c>
      <c r="K46" s="84" t="e">
        <f t="shared" si="23"/>
        <v>#REF!</v>
      </c>
      <c r="L46" s="84" t="e">
        <f t="shared" si="23"/>
        <v>#REF!</v>
      </c>
    </row>
  </sheetData>
  <mergeCells count="4">
    <mergeCell ref="A1:M1"/>
    <mergeCell ref="A9:M9"/>
    <mergeCell ref="A20:M20"/>
    <mergeCell ref="A27:M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1706-0D86-4529-8B8D-F2412E38BE86}">
  <sheetPr>
    <pageSetUpPr fitToPage="1"/>
  </sheetPr>
  <dimension ref="A1:AE43"/>
  <sheetViews>
    <sheetView tabSelected="1" topLeftCell="H14" zoomScale="89" zoomScaleNormal="89" workbookViewId="0">
      <selection activeCell="W23" sqref="W23"/>
    </sheetView>
  </sheetViews>
  <sheetFormatPr defaultRowHeight="15" x14ac:dyDescent="0.25"/>
  <cols>
    <col min="1" max="1" width="26.5703125" customWidth="1"/>
    <col min="2" max="3" width="18.28515625" bestFit="1" customWidth="1"/>
    <col min="4" max="4" width="23.28515625" bestFit="1" customWidth="1"/>
    <col min="5" max="5" width="25.28515625" bestFit="1" customWidth="1"/>
    <col min="6" max="6" width="18.7109375" customWidth="1"/>
    <col min="7" max="7" width="18.28515625" bestFit="1" customWidth="1"/>
    <col min="8" max="8" width="19.42578125" bestFit="1" customWidth="1"/>
    <col min="9" max="10" width="18.28515625" bestFit="1" customWidth="1"/>
    <col min="11" max="11" width="23.28515625" bestFit="1" customWidth="1"/>
    <col min="12" max="12" width="19.28515625" bestFit="1" customWidth="1"/>
    <col min="13" max="13" width="18.28515625" bestFit="1" customWidth="1"/>
    <col min="14" max="14" width="19.5703125" bestFit="1" customWidth="1"/>
    <col min="15" max="15" width="19.42578125" bestFit="1" customWidth="1"/>
    <col min="16" max="16" width="14.42578125" bestFit="1" customWidth="1"/>
    <col min="17" max="17" width="18.7109375" customWidth="1"/>
    <col min="18" max="18" width="23.28515625" bestFit="1" customWidth="1"/>
    <col min="19" max="19" width="15.85546875" bestFit="1" customWidth="1"/>
    <col min="20" max="20" width="17" bestFit="1" customWidth="1"/>
    <col min="22" max="22" width="19.42578125" bestFit="1" customWidth="1"/>
    <col min="23" max="23" width="15.42578125" customWidth="1"/>
    <col min="24" max="24" width="18.85546875" customWidth="1"/>
    <col min="25" max="25" width="23.28515625" bestFit="1" customWidth="1"/>
    <col min="26" max="26" width="15.28515625" customWidth="1"/>
    <col min="27" max="27" width="17" bestFit="1" customWidth="1"/>
  </cols>
  <sheetData>
    <row r="1" spans="1:27" x14ac:dyDescent="0.25">
      <c r="A1" s="166" t="s">
        <v>101</v>
      </c>
      <c r="B1" s="166"/>
      <c r="C1" s="166"/>
      <c r="D1" s="166"/>
      <c r="E1" s="166"/>
      <c r="F1" s="93"/>
      <c r="H1" s="166" t="s">
        <v>101</v>
      </c>
      <c r="I1" s="166"/>
      <c r="J1" s="166"/>
      <c r="K1" s="166"/>
      <c r="L1" s="166"/>
      <c r="M1" s="93"/>
      <c r="O1" s="166" t="s">
        <v>101</v>
      </c>
      <c r="P1" s="166"/>
      <c r="Q1" s="166"/>
      <c r="R1" s="166"/>
      <c r="S1" s="166"/>
      <c r="T1" s="93"/>
      <c r="V1" s="166" t="s">
        <v>101</v>
      </c>
      <c r="W1" s="166"/>
      <c r="X1" s="166"/>
      <c r="Y1" s="166"/>
      <c r="Z1" s="166"/>
      <c r="AA1" s="93"/>
    </row>
    <row r="2" spans="1:27" ht="15" customHeight="1" x14ac:dyDescent="0.25">
      <c r="A2" s="43"/>
      <c r="B2" s="167" t="s">
        <v>69</v>
      </c>
      <c r="C2" s="168"/>
      <c r="D2" s="169"/>
      <c r="E2" s="170" t="s">
        <v>37</v>
      </c>
      <c r="F2" s="164" t="s">
        <v>38</v>
      </c>
      <c r="H2" s="43"/>
      <c r="I2" s="167" t="s">
        <v>73</v>
      </c>
      <c r="J2" s="168"/>
      <c r="K2" s="169"/>
      <c r="L2" s="170" t="s">
        <v>37</v>
      </c>
      <c r="M2" s="164" t="s">
        <v>38</v>
      </c>
      <c r="O2" s="43"/>
      <c r="P2" s="167" t="s">
        <v>15</v>
      </c>
      <c r="Q2" s="168"/>
      <c r="R2" s="169"/>
      <c r="S2" s="170" t="s">
        <v>37</v>
      </c>
      <c r="T2" s="164" t="s">
        <v>38</v>
      </c>
      <c r="V2" s="43"/>
      <c r="W2" s="167" t="s">
        <v>78</v>
      </c>
      <c r="X2" s="168"/>
      <c r="Y2" s="169"/>
      <c r="Z2" s="170" t="s">
        <v>37</v>
      </c>
      <c r="AA2" s="164" t="s">
        <v>38</v>
      </c>
    </row>
    <row r="3" spans="1:27" ht="45" customHeight="1" x14ac:dyDescent="0.25">
      <c r="A3" s="92"/>
      <c r="B3" s="97" t="s">
        <v>70</v>
      </c>
      <c r="C3" s="97" t="s">
        <v>86</v>
      </c>
      <c r="D3" s="97" t="s">
        <v>91</v>
      </c>
      <c r="E3" s="171"/>
      <c r="F3" s="165"/>
      <c r="H3" s="92"/>
      <c r="I3" s="97" t="s">
        <v>70</v>
      </c>
      <c r="J3" s="97" t="s">
        <v>86</v>
      </c>
      <c r="K3" s="97" t="s">
        <v>90</v>
      </c>
      <c r="L3" s="171"/>
      <c r="M3" s="165"/>
      <c r="O3" s="92"/>
      <c r="P3" s="97" t="s">
        <v>70</v>
      </c>
      <c r="Q3" s="97" t="s">
        <v>86</v>
      </c>
      <c r="R3" s="97" t="s">
        <v>90</v>
      </c>
      <c r="S3" s="171"/>
      <c r="T3" s="165"/>
      <c r="V3" s="92"/>
      <c r="W3" s="97" t="s">
        <v>70</v>
      </c>
      <c r="X3" s="97" t="s">
        <v>86</v>
      </c>
      <c r="Y3" s="97" t="s">
        <v>90</v>
      </c>
      <c r="Z3" s="171"/>
      <c r="AA3" s="165"/>
    </row>
    <row r="4" spans="1:27" ht="17.25" customHeight="1" x14ac:dyDescent="0.25">
      <c r="A4" s="38" t="s">
        <v>14</v>
      </c>
      <c r="B4" s="78">
        <v>9132.27</v>
      </c>
      <c r="C4" s="78">
        <v>3600.5</v>
      </c>
      <c r="D4" s="78">
        <v>3007.78</v>
      </c>
      <c r="E4" s="106">
        <f>SUM(B4:D4)</f>
        <v>15740.550000000001</v>
      </c>
      <c r="F4" s="138">
        <v>16.317540000000001</v>
      </c>
      <c r="G4" s="132"/>
      <c r="H4" s="38" t="s">
        <v>14</v>
      </c>
      <c r="I4" s="78">
        <v>8554.7099999999991</v>
      </c>
      <c r="J4" s="78">
        <v>3352.83</v>
      </c>
      <c r="K4" s="78">
        <v>2994.41</v>
      </c>
      <c r="L4" s="106">
        <f>SUM(I4:K4)</f>
        <v>14901.949999999999</v>
      </c>
      <c r="M4" s="138">
        <v>836.20204999999999</v>
      </c>
      <c r="O4" s="38" t="s">
        <v>14</v>
      </c>
      <c r="P4" s="78">
        <v>13310.88</v>
      </c>
      <c r="Q4" s="78">
        <v>4986.6099999999997</v>
      </c>
      <c r="R4" s="78">
        <v>3689.22</v>
      </c>
      <c r="S4" s="106">
        <f>SUM(P4:R4)</f>
        <v>21986.71</v>
      </c>
      <c r="T4" s="138">
        <v>20.531479999999998</v>
      </c>
      <c r="V4" s="38" t="s">
        <v>14</v>
      </c>
      <c r="W4" s="132"/>
      <c r="X4" s="78"/>
      <c r="Y4" s="78"/>
      <c r="Z4" s="106">
        <f>SUM(W4:Y4)</f>
        <v>0</v>
      </c>
      <c r="AA4" s="106"/>
    </row>
    <row r="5" spans="1:27" ht="18" customHeight="1" x14ac:dyDescent="0.25">
      <c r="A5" s="38" t="s">
        <v>12</v>
      </c>
      <c r="B5" s="78">
        <v>8969.6200000000008</v>
      </c>
      <c r="C5" s="78">
        <v>3592.57</v>
      </c>
      <c r="D5" s="78">
        <v>3047.55</v>
      </c>
      <c r="E5" s="106">
        <f>SUM(B5:D5)</f>
        <v>15609.740000000002</v>
      </c>
      <c r="F5" s="138">
        <v>16.962610000000002</v>
      </c>
      <c r="G5" s="24"/>
      <c r="H5" s="38" t="s">
        <v>12</v>
      </c>
      <c r="I5" s="78">
        <v>10871.41</v>
      </c>
      <c r="J5" s="78">
        <v>4265.54</v>
      </c>
      <c r="K5" s="78">
        <v>3511.24</v>
      </c>
      <c r="L5" s="106">
        <f>SUM(I5:K5)</f>
        <v>18648.190000000002</v>
      </c>
      <c r="M5" s="138">
        <v>19.59442</v>
      </c>
      <c r="O5" s="38" t="s">
        <v>12</v>
      </c>
      <c r="P5" s="78">
        <v>11177.82</v>
      </c>
      <c r="Q5" s="78">
        <v>4596.1499999999996</v>
      </c>
      <c r="R5" s="78">
        <v>4342.95</v>
      </c>
      <c r="S5" s="106">
        <f>SUM(P5:R5)</f>
        <v>20116.919999999998</v>
      </c>
      <c r="T5" s="138">
        <v>19.127960000000002</v>
      </c>
      <c r="V5" s="38" t="s">
        <v>12</v>
      </c>
      <c r="W5" s="78"/>
      <c r="X5" s="78"/>
      <c r="Y5" s="78"/>
      <c r="Z5" s="106">
        <f>SUM(W5:Y5)</f>
        <v>0</v>
      </c>
      <c r="AA5" s="106"/>
    </row>
    <row r="6" spans="1:27" ht="17.25" customHeight="1" x14ac:dyDescent="0.25">
      <c r="A6" s="38" t="s">
        <v>46</v>
      </c>
      <c r="B6" s="78">
        <v>24013</v>
      </c>
      <c r="C6" s="78">
        <v>9229.5400000000009</v>
      </c>
      <c r="D6" s="78">
        <v>7622.56</v>
      </c>
      <c r="E6" s="106">
        <f>SUM(B6:D6)</f>
        <v>40865.1</v>
      </c>
      <c r="F6" s="138">
        <v>46.78631</v>
      </c>
      <c r="G6" s="134"/>
      <c r="H6" s="38" t="s">
        <v>46</v>
      </c>
      <c r="I6" s="78">
        <v>30158.63</v>
      </c>
      <c r="J6" s="78">
        <v>12076.31</v>
      </c>
      <c r="K6" s="78">
        <v>9300.14</v>
      </c>
      <c r="L6" s="106">
        <f>SUM(I6:K6)</f>
        <v>51535.08</v>
      </c>
      <c r="M6" s="138">
        <v>58.961590000000001</v>
      </c>
      <c r="O6" s="38" t="s">
        <v>46</v>
      </c>
      <c r="P6" s="78">
        <v>31820.47</v>
      </c>
      <c r="Q6" s="132">
        <v>13037.85</v>
      </c>
      <c r="R6" s="135">
        <v>10236.959999999999</v>
      </c>
      <c r="S6" s="106">
        <f>SUM(P6:R6)</f>
        <v>55095.28</v>
      </c>
      <c r="T6" s="138">
        <v>56.910899999999998</v>
      </c>
      <c r="V6" s="38" t="s">
        <v>46</v>
      </c>
      <c r="W6" s="78"/>
      <c r="X6" s="78"/>
      <c r="Y6" s="78"/>
      <c r="Z6" s="106">
        <f>SUM(W6:Y6)</f>
        <v>0</v>
      </c>
      <c r="AA6" s="106"/>
    </row>
    <row r="7" spans="1:27" ht="15.75" x14ac:dyDescent="0.25">
      <c r="A7" s="44" t="s">
        <v>37</v>
      </c>
      <c r="B7" s="91">
        <f>SUM(B4:B6)</f>
        <v>42114.89</v>
      </c>
      <c r="C7" s="91">
        <f>SUM(C4:C6)</f>
        <v>16422.61</v>
      </c>
      <c r="D7" s="91">
        <f>SUM(D4:D6)</f>
        <v>13677.89</v>
      </c>
      <c r="E7" s="107">
        <f>SUM(B7:D7)</f>
        <v>72215.39</v>
      </c>
      <c r="F7" s="139">
        <f>SUM(F4:F6)</f>
        <v>80.066460000000006</v>
      </c>
      <c r="H7" s="44" t="s">
        <v>37</v>
      </c>
      <c r="I7" s="91">
        <f>SUM(I4:I6)</f>
        <v>49584.75</v>
      </c>
      <c r="J7" s="91">
        <f>SUM(J4:J6)</f>
        <v>19694.68</v>
      </c>
      <c r="K7" s="91">
        <f>SUM(K4:K6)</f>
        <v>15805.789999999999</v>
      </c>
      <c r="L7" s="107">
        <f>SUM(I7:K7)</f>
        <v>85085.219999999987</v>
      </c>
      <c r="M7" s="139">
        <f>SUM(M4:M6)</f>
        <v>914.75806</v>
      </c>
      <c r="O7" s="44" t="s">
        <v>37</v>
      </c>
      <c r="P7" s="91">
        <f>SUM(P4:P6)</f>
        <v>56309.17</v>
      </c>
      <c r="Q7" s="91">
        <f>SUM(Q4:Q6)</f>
        <v>22620.61</v>
      </c>
      <c r="R7" s="91">
        <f>SUM(R4:R6)</f>
        <v>18269.129999999997</v>
      </c>
      <c r="S7" s="107">
        <f>SUM(P7:R7)</f>
        <v>97198.91</v>
      </c>
      <c r="T7" s="139">
        <f>SUM(T4:T6)</f>
        <v>96.570340000000002</v>
      </c>
      <c r="V7" s="44" t="s">
        <v>37</v>
      </c>
      <c r="W7" s="91">
        <f>SUM(W5:W6)</f>
        <v>0</v>
      </c>
      <c r="X7" s="91">
        <f>SUM(X4:X6)</f>
        <v>0</v>
      </c>
      <c r="Y7" s="91">
        <f>SUM(Y4:Y6)</f>
        <v>0</v>
      </c>
      <c r="Z7" s="107">
        <f>SUM(W7:Y7)</f>
        <v>0</v>
      </c>
      <c r="AA7" s="107"/>
    </row>
    <row r="8" spans="1:27" x14ac:dyDescent="0.25">
      <c r="E8" s="140" t="s">
        <v>92</v>
      </c>
      <c r="F8" s="141">
        <f>E7/F7</f>
        <v>901.94308578148696</v>
      </c>
      <c r="G8" s="24"/>
      <c r="L8" s="140" t="s">
        <v>92</v>
      </c>
      <c r="M8" s="141">
        <f>L7/M7</f>
        <v>93.013905775260383</v>
      </c>
      <c r="S8" s="140" t="s">
        <v>92</v>
      </c>
      <c r="T8" s="141">
        <f>S7/T7</f>
        <v>1006.5089343166857</v>
      </c>
    </row>
    <row r="10" spans="1:27" x14ac:dyDescent="0.25">
      <c r="A10" s="166" t="s">
        <v>101</v>
      </c>
      <c r="B10" s="166"/>
      <c r="C10" s="166"/>
      <c r="D10" s="166"/>
      <c r="E10" s="166"/>
      <c r="F10" s="93"/>
      <c r="H10" s="166" t="s">
        <v>101</v>
      </c>
      <c r="I10" s="166"/>
      <c r="J10" s="166"/>
      <c r="K10" s="166"/>
      <c r="L10" s="166"/>
      <c r="M10" s="93"/>
      <c r="O10" s="166" t="s">
        <v>101</v>
      </c>
      <c r="P10" s="166"/>
      <c r="Q10" s="166"/>
      <c r="R10" s="166"/>
      <c r="S10" s="166"/>
      <c r="T10" s="93"/>
      <c r="V10" s="166" t="s">
        <v>101</v>
      </c>
      <c r="W10" s="166"/>
      <c r="X10" s="166"/>
      <c r="Y10" s="166"/>
      <c r="Z10" s="166"/>
      <c r="AA10" s="93"/>
    </row>
    <row r="11" spans="1:27" ht="23.25" customHeight="1" x14ac:dyDescent="0.25">
      <c r="A11" s="43"/>
      <c r="B11" s="167" t="s">
        <v>71</v>
      </c>
      <c r="C11" s="168"/>
      <c r="D11" s="169"/>
      <c r="E11" s="170" t="s">
        <v>37</v>
      </c>
      <c r="F11" s="164" t="s">
        <v>38</v>
      </c>
      <c r="H11" s="43"/>
      <c r="I11" s="167" t="s">
        <v>74</v>
      </c>
      <c r="J11" s="168"/>
      <c r="K11" s="169"/>
      <c r="L11" s="170" t="s">
        <v>37</v>
      </c>
      <c r="M11" s="164" t="s">
        <v>38</v>
      </c>
      <c r="O11" s="43"/>
      <c r="P11" s="167" t="s">
        <v>76</v>
      </c>
      <c r="Q11" s="168"/>
      <c r="R11" s="169"/>
      <c r="S11" s="170" t="s">
        <v>37</v>
      </c>
      <c r="T11" s="164" t="s">
        <v>38</v>
      </c>
      <c r="V11" s="43"/>
      <c r="W11" s="167" t="s">
        <v>79</v>
      </c>
      <c r="X11" s="168"/>
      <c r="Y11" s="169"/>
      <c r="Z11" s="170" t="s">
        <v>37</v>
      </c>
      <c r="AA11" s="164" t="s">
        <v>38</v>
      </c>
    </row>
    <row r="12" spans="1:27" ht="30" customHeight="1" x14ac:dyDescent="0.25">
      <c r="A12" s="92"/>
      <c r="B12" s="97" t="s">
        <v>70</v>
      </c>
      <c r="C12" s="97" t="s">
        <v>86</v>
      </c>
      <c r="D12" s="97" t="s">
        <v>90</v>
      </c>
      <c r="E12" s="171"/>
      <c r="F12" s="165"/>
      <c r="H12" s="92"/>
      <c r="I12" s="97" t="s">
        <v>70</v>
      </c>
      <c r="J12" s="97" t="s">
        <v>86</v>
      </c>
      <c r="K12" s="97" t="s">
        <v>90</v>
      </c>
      <c r="L12" s="171"/>
      <c r="M12" s="165"/>
      <c r="O12" s="92"/>
      <c r="P12" s="97" t="s">
        <v>70</v>
      </c>
      <c r="Q12" s="97" t="s">
        <v>86</v>
      </c>
      <c r="R12" s="97" t="s">
        <v>90</v>
      </c>
      <c r="S12" s="171"/>
      <c r="T12" s="165"/>
      <c r="V12" s="92"/>
      <c r="W12" s="97" t="s">
        <v>70</v>
      </c>
      <c r="X12" s="97" t="s">
        <v>86</v>
      </c>
      <c r="Y12" s="97" t="s">
        <v>90</v>
      </c>
      <c r="Z12" s="171"/>
      <c r="AA12" s="165"/>
    </row>
    <row r="13" spans="1:27" ht="18" customHeight="1" x14ac:dyDescent="0.25">
      <c r="A13" s="38" t="s">
        <v>14</v>
      </c>
      <c r="B13" s="78">
        <v>9317.07</v>
      </c>
      <c r="C13" s="78">
        <v>3799.08</v>
      </c>
      <c r="D13" s="78">
        <v>3133.6</v>
      </c>
      <c r="E13" s="106">
        <f>SUM(B13:D13)</f>
        <v>16249.75</v>
      </c>
      <c r="F13" s="138">
        <v>16.71293</v>
      </c>
      <c r="G13" s="101"/>
      <c r="H13" s="38" t="s">
        <v>14</v>
      </c>
      <c r="I13" s="78">
        <v>10906.52</v>
      </c>
      <c r="J13" s="78">
        <v>4265.21</v>
      </c>
      <c r="K13" s="78">
        <v>3715.26</v>
      </c>
      <c r="L13" s="106">
        <f>SUM(I13:K13)</f>
        <v>18886.989999999998</v>
      </c>
      <c r="M13" s="138">
        <v>19.622299999999999</v>
      </c>
      <c r="O13" s="38" t="s">
        <v>14</v>
      </c>
      <c r="P13" s="78">
        <v>13639.91</v>
      </c>
      <c r="Q13" s="78">
        <v>5015.38</v>
      </c>
      <c r="R13" s="160">
        <v>3665.07</v>
      </c>
      <c r="S13" s="106">
        <f>SUM(P13:R13)</f>
        <v>22320.36</v>
      </c>
      <c r="T13" s="138">
        <v>20.16377</v>
      </c>
      <c r="V13" s="38" t="s">
        <v>14</v>
      </c>
      <c r="W13" s="135"/>
      <c r="X13" s="78"/>
      <c r="Y13" s="122"/>
      <c r="Z13" s="106">
        <f>SUM(W13:Y13)</f>
        <v>0</v>
      </c>
      <c r="AA13" s="106"/>
    </row>
    <row r="14" spans="1:27" ht="16.5" customHeight="1" x14ac:dyDescent="0.25">
      <c r="A14" s="38" t="s">
        <v>12</v>
      </c>
      <c r="B14" s="78">
        <v>10020.32</v>
      </c>
      <c r="C14" s="78">
        <v>4176.9399999999996</v>
      </c>
      <c r="D14" s="78">
        <v>3380.25</v>
      </c>
      <c r="E14" s="106">
        <f>SUM(B14:D14)</f>
        <v>17577.509999999998</v>
      </c>
      <c r="F14" s="138">
        <v>19.308630000000001</v>
      </c>
      <c r="H14" s="38" t="s">
        <v>12</v>
      </c>
      <c r="I14" s="78">
        <v>10784.49</v>
      </c>
      <c r="J14" s="122">
        <v>4623.8100000000004</v>
      </c>
      <c r="K14" s="78">
        <v>3666.24</v>
      </c>
      <c r="L14" s="106">
        <f>SUM(I14:K14)</f>
        <v>19074.54</v>
      </c>
      <c r="M14" s="138">
        <v>17.543600000000001</v>
      </c>
      <c r="O14" s="38" t="s">
        <v>12</v>
      </c>
      <c r="P14" s="78">
        <v>11060.18</v>
      </c>
      <c r="Q14" s="78">
        <v>4560.7700000000004</v>
      </c>
      <c r="R14" s="160">
        <v>4253.43</v>
      </c>
      <c r="S14" s="106">
        <f>SUM(P14:R14)</f>
        <v>19874.38</v>
      </c>
      <c r="T14" s="138">
        <v>18.910720000000001</v>
      </c>
      <c r="V14" s="38" t="s">
        <v>12</v>
      </c>
      <c r="W14" s="135"/>
      <c r="X14" s="132"/>
      <c r="Y14" s="78"/>
      <c r="Z14" s="106">
        <f>SUM(W14:Y14)</f>
        <v>0</v>
      </c>
      <c r="AA14" s="106"/>
    </row>
    <row r="15" spans="1:27" ht="17.25" customHeight="1" x14ac:dyDescent="0.25">
      <c r="A15" s="38" t="s">
        <v>46</v>
      </c>
      <c r="B15" s="78">
        <v>26386.74</v>
      </c>
      <c r="C15" s="136">
        <v>10682.86</v>
      </c>
      <c r="D15" s="78">
        <v>8338.2999999999993</v>
      </c>
      <c r="E15" s="106">
        <f>SUM(B15:C15)</f>
        <v>37069.600000000006</v>
      </c>
      <c r="F15" s="138">
        <v>52.141210000000001</v>
      </c>
      <c r="H15" s="38" t="s">
        <v>46</v>
      </c>
      <c r="I15" s="78">
        <v>27645.34</v>
      </c>
      <c r="J15" s="78">
        <v>12155.79</v>
      </c>
      <c r="K15" s="78">
        <v>9270.5300000000007</v>
      </c>
      <c r="L15" s="106">
        <f>SUM(I15:K15)</f>
        <v>49071.66</v>
      </c>
      <c r="M15" s="138">
        <v>53.592979999999997</v>
      </c>
      <c r="O15" s="38" t="s">
        <v>46</v>
      </c>
      <c r="P15" s="78">
        <v>28522.86</v>
      </c>
      <c r="Q15" s="78">
        <v>11423.33</v>
      </c>
      <c r="R15" s="160">
        <v>8883.2900000000009</v>
      </c>
      <c r="S15" s="106">
        <f>SUM(P15:R15)</f>
        <v>48829.48</v>
      </c>
      <c r="T15" s="138">
        <v>49.802010000000003</v>
      </c>
      <c r="V15" s="38" t="s">
        <v>46</v>
      </c>
      <c r="W15" s="135"/>
      <c r="X15" s="78"/>
      <c r="Y15" s="78"/>
      <c r="Z15" s="106">
        <f>SUM(W15:Y15)</f>
        <v>0</v>
      </c>
      <c r="AA15" s="106"/>
    </row>
    <row r="16" spans="1:27" ht="15.75" x14ac:dyDescent="0.25">
      <c r="A16" s="44" t="s">
        <v>37</v>
      </c>
      <c r="B16" s="91">
        <f>SUM(B13:B15)</f>
        <v>45724.130000000005</v>
      </c>
      <c r="C16" s="91">
        <f>SUM(C13:C15)</f>
        <v>18658.88</v>
      </c>
      <c r="D16" s="91">
        <f>SUM(D13:D15)</f>
        <v>14852.15</v>
      </c>
      <c r="E16" s="107">
        <f>SUM(B16:D16)</f>
        <v>79235.16</v>
      </c>
      <c r="F16" s="139">
        <f>SUM(F13:F15)</f>
        <v>88.162769999999995</v>
      </c>
      <c r="H16" s="44" t="s">
        <v>37</v>
      </c>
      <c r="I16" s="91">
        <f>SUM(I13:I15)</f>
        <v>49336.350000000006</v>
      </c>
      <c r="J16" s="91">
        <f>SUM(J13:J15)</f>
        <v>21044.81</v>
      </c>
      <c r="K16" s="91">
        <f>SUM(K13:K15)</f>
        <v>16652.03</v>
      </c>
      <c r="L16" s="107">
        <f>SUM(I16:K16)</f>
        <v>87033.19</v>
      </c>
      <c r="M16" s="139">
        <f>SUM(M13:M15)</f>
        <v>90.758880000000005</v>
      </c>
      <c r="O16" s="44" t="s">
        <v>37</v>
      </c>
      <c r="P16" s="91">
        <f>SUM(P13:P15)</f>
        <v>53222.95</v>
      </c>
      <c r="Q16" s="91">
        <f>SUM(Q13:Q15)</f>
        <v>20999.480000000003</v>
      </c>
      <c r="R16" s="46">
        <f>SUM(R13:R15)</f>
        <v>16801.79</v>
      </c>
      <c r="S16" s="107">
        <f>SUM(P16:R16)</f>
        <v>91024.22</v>
      </c>
      <c r="T16" s="139">
        <f>SUM(T13:T15)</f>
        <v>88.876499999999993</v>
      </c>
      <c r="V16" s="44" t="s">
        <v>37</v>
      </c>
      <c r="W16" s="91">
        <f>SUM(W14:W15)</f>
        <v>0</v>
      </c>
      <c r="X16" s="91">
        <f>SUM(X13:X15)</f>
        <v>0</v>
      </c>
      <c r="Y16" s="91">
        <f>SUM(Y14:Y15)</f>
        <v>0</v>
      </c>
      <c r="Z16" s="107">
        <f>SUM(W16:Y16)</f>
        <v>0</v>
      </c>
      <c r="AA16" s="107"/>
    </row>
    <row r="17" spans="1:27" x14ac:dyDescent="0.25">
      <c r="E17" s="140" t="s">
        <v>92</v>
      </c>
      <c r="F17" s="141">
        <f>E16/F16</f>
        <v>898.73718804434122</v>
      </c>
      <c r="L17" s="140" t="s">
        <v>92</v>
      </c>
      <c r="M17" s="141">
        <f>L16/M16</f>
        <v>958.94958157262408</v>
      </c>
      <c r="S17" s="140" t="s">
        <v>92</v>
      </c>
      <c r="T17" s="141">
        <f>S16/T16</f>
        <v>1024.1652180272627</v>
      </c>
    </row>
    <row r="19" spans="1:27" x14ac:dyDescent="0.25">
      <c r="A19" s="166" t="s">
        <v>101</v>
      </c>
      <c r="B19" s="166"/>
      <c r="C19" s="166"/>
      <c r="D19" s="166"/>
      <c r="E19" s="166"/>
      <c r="F19" s="93"/>
      <c r="H19" s="166" t="s">
        <v>101</v>
      </c>
      <c r="I19" s="166"/>
      <c r="J19" s="166"/>
      <c r="K19" s="166"/>
      <c r="L19" s="166"/>
      <c r="M19" s="93"/>
      <c r="O19" s="166" t="s">
        <v>101</v>
      </c>
      <c r="P19" s="166"/>
      <c r="Q19" s="166"/>
      <c r="R19" s="166"/>
      <c r="S19" s="166"/>
      <c r="T19" s="93"/>
      <c r="V19" s="166" t="s">
        <v>101</v>
      </c>
      <c r="W19" s="166"/>
      <c r="X19" s="166"/>
      <c r="Y19" s="166"/>
      <c r="Z19" s="166"/>
      <c r="AA19" s="93"/>
    </row>
    <row r="20" spans="1:27" ht="23.25" customHeight="1" x14ac:dyDescent="0.25">
      <c r="A20" s="43"/>
      <c r="B20" s="167" t="s">
        <v>72</v>
      </c>
      <c r="C20" s="168"/>
      <c r="D20" s="169"/>
      <c r="E20" s="170" t="s">
        <v>37</v>
      </c>
      <c r="F20" s="164" t="s">
        <v>38</v>
      </c>
      <c r="H20" s="43"/>
      <c r="I20" s="167" t="s">
        <v>75</v>
      </c>
      <c r="J20" s="168"/>
      <c r="K20" s="169"/>
      <c r="L20" s="170" t="s">
        <v>37</v>
      </c>
      <c r="M20" s="164" t="s">
        <v>38</v>
      </c>
      <c r="O20" s="43"/>
      <c r="P20" s="167" t="s">
        <v>77</v>
      </c>
      <c r="Q20" s="168"/>
      <c r="R20" s="169"/>
      <c r="S20" s="170" t="s">
        <v>37</v>
      </c>
      <c r="T20" s="164" t="s">
        <v>38</v>
      </c>
      <c r="V20" s="43"/>
      <c r="W20" s="94" t="s">
        <v>80</v>
      </c>
      <c r="X20" s="95"/>
      <c r="Y20" s="96"/>
      <c r="Z20" s="170" t="s">
        <v>37</v>
      </c>
      <c r="AA20" s="164" t="s">
        <v>38</v>
      </c>
    </row>
    <row r="21" spans="1:27" ht="30" customHeight="1" x14ac:dyDescent="0.25">
      <c r="A21" s="92"/>
      <c r="B21" s="97" t="s">
        <v>70</v>
      </c>
      <c r="C21" s="97" t="s">
        <v>86</v>
      </c>
      <c r="D21" s="97" t="s">
        <v>90</v>
      </c>
      <c r="E21" s="171"/>
      <c r="F21" s="165"/>
      <c r="H21" s="92"/>
      <c r="I21" s="97" t="s">
        <v>70</v>
      </c>
      <c r="J21" s="97" t="s">
        <v>86</v>
      </c>
      <c r="K21" s="97" t="s">
        <v>90</v>
      </c>
      <c r="L21" s="176"/>
      <c r="M21" s="165"/>
      <c r="O21" s="92"/>
      <c r="P21" s="97" t="s">
        <v>70</v>
      </c>
      <c r="Q21" s="97" t="s">
        <v>86</v>
      </c>
      <c r="R21" s="97" t="s">
        <v>90</v>
      </c>
      <c r="S21" s="171"/>
      <c r="T21" s="165"/>
      <c r="V21" s="92"/>
      <c r="W21" s="97" t="s">
        <v>70</v>
      </c>
      <c r="X21" s="97" t="s">
        <v>86</v>
      </c>
      <c r="Y21" s="97" t="s">
        <v>90</v>
      </c>
      <c r="Z21" s="171"/>
      <c r="AA21" s="165"/>
    </row>
    <row r="22" spans="1:27" ht="15" customHeight="1" x14ac:dyDescent="0.25">
      <c r="A22" s="38" t="s">
        <v>14</v>
      </c>
      <c r="B22" s="78">
        <v>9995.73</v>
      </c>
      <c r="C22" s="78">
        <v>2947.91</v>
      </c>
      <c r="D22" s="78">
        <v>2700.9</v>
      </c>
      <c r="E22" s="109">
        <f>SUM(B22:D22)</f>
        <v>15644.539999999999</v>
      </c>
      <c r="F22" s="138">
        <v>773.44359999999995</v>
      </c>
      <c r="H22" s="38" t="s">
        <v>14</v>
      </c>
      <c r="I22" s="78">
        <v>11664.61</v>
      </c>
      <c r="J22" s="78">
        <v>4414.8500000000004</v>
      </c>
      <c r="K22" s="78">
        <v>4034.19</v>
      </c>
      <c r="L22" s="117">
        <f>SUM(I22:K22)</f>
        <v>20113.650000000001</v>
      </c>
      <c r="M22" s="138">
        <v>19.798500000000001</v>
      </c>
      <c r="O22" s="38" t="s">
        <v>14</v>
      </c>
      <c r="P22" s="161">
        <v>13053.63</v>
      </c>
      <c r="Q22" s="133">
        <v>5175.8500000000004</v>
      </c>
      <c r="R22" s="133">
        <v>4138.72</v>
      </c>
      <c r="S22" s="106">
        <f>SUM(P22:R22)</f>
        <v>22368.2</v>
      </c>
      <c r="T22" s="162">
        <v>19.47325</v>
      </c>
      <c r="V22" s="38" t="s">
        <v>14</v>
      </c>
      <c r="W22" s="78"/>
      <c r="X22" s="78"/>
      <c r="Y22" s="78"/>
      <c r="Z22" s="106">
        <f>SUM(W22:Y22)</f>
        <v>0</v>
      </c>
      <c r="AA22" s="106"/>
    </row>
    <row r="23" spans="1:27" x14ac:dyDescent="0.25">
      <c r="A23" s="38" t="s">
        <v>12</v>
      </c>
      <c r="B23" s="78">
        <v>10678.04</v>
      </c>
      <c r="C23" s="78">
        <v>3630.48</v>
      </c>
      <c r="D23" s="78">
        <v>3078.21</v>
      </c>
      <c r="E23" s="109">
        <f>SUM(B23:D23)</f>
        <v>17386.73</v>
      </c>
      <c r="F23" s="138">
        <v>16.305499999999999</v>
      </c>
      <c r="G23" s="11"/>
      <c r="H23" s="38" t="s">
        <v>12</v>
      </c>
      <c r="I23" s="78">
        <v>11087.34</v>
      </c>
      <c r="J23" s="122">
        <v>4531.72</v>
      </c>
      <c r="K23" s="78">
        <v>3793.66</v>
      </c>
      <c r="L23" s="106">
        <f>SUM(I23:K23)</f>
        <v>19412.72</v>
      </c>
      <c r="M23" s="138">
        <v>19.798500000000001</v>
      </c>
      <c r="O23" s="38" t="s">
        <v>12</v>
      </c>
      <c r="P23" s="161">
        <v>12378.28</v>
      </c>
      <c r="Q23" s="132">
        <v>4777.45</v>
      </c>
      <c r="R23" s="133">
        <v>4019.23</v>
      </c>
      <c r="S23" s="106">
        <f>SUM(P23:R23)</f>
        <v>21174.959999999999</v>
      </c>
      <c r="T23" s="162">
        <v>21.540520000000001</v>
      </c>
      <c r="V23" s="38" t="s">
        <v>12</v>
      </c>
      <c r="W23" s="78"/>
      <c r="X23" s="78"/>
      <c r="Y23" s="78"/>
      <c r="Z23" s="106">
        <f>SUM(W23:Y23)</f>
        <v>0</v>
      </c>
      <c r="AA23" s="106"/>
    </row>
    <row r="24" spans="1:27" x14ac:dyDescent="0.25">
      <c r="A24" s="38" t="s">
        <v>46</v>
      </c>
      <c r="B24" s="78">
        <v>28657.61</v>
      </c>
      <c r="C24" s="78">
        <v>9690.75</v>
      </c>
      <c r="D24" s="78">
        <v>7962.05</v>
      </c>
      <c r="E24" s="109">
        <f>SUM(B24:D24)</f>
        <v>46310.41</v>
      </c>
      <c r="F24" s="138">
        <v>46.522170000000003</v>
      </c>
      <c r="H24" s="38" t="s">
        <v>46</v>
      </c>
      <c r="I24" s="78">
        <v>30849.45</v>
      </c>
      <c r="J24" s="78">
        <v>12261.56</v>
      </c>
      <c r="K24" s="78">
        <v>10243.61</v>
      </c>
      <c r="L24" s="106">
        <f>SUM(I24:K24)</f>
        <v>53354.62</v>
      </c>
      <c r="M24" s="138">
        <v>58.306959999999997</v>
      </c>
      <c r="O24" s="38" t="s">
        <v>46</v>
      </c>
      <c r="P24" s="161">
        <v>39044.160000000003</v>
      </c>
      <c r="Q24" s="133">
        <v>16062.86</v>
      </c>
      <c r="R24" s="133">
        <v>12860.06</v>
      </c>
      <c r="S24" s="106">
        <f>SUM(P24:R24)</f>
        <v>67967.08</v>
      </c>
      <c r="T24" s="162">
        <v>68.850809999999996</v>
      </c>
      <c r="V24" s="38" t="s">
        <v>46</v>
      </c>
      <c r="W24" s="78"/>
      <c r="X24" s="78"/>
      <c r="Y24" s="78"/>
      <c r="Z24" s="106">
        <f>SUM(W24:Y24)</f>
        <v>0</v>
      </c>
      <c r="AA24" s="106"/>
    </row>
    <row r="25" spans="1:27" ht="15.75" x14ac:dyDescent="0.25">
      <c r="A25" s="44" t="s">
        <v>37</v>
      </c>
      <c r="B25" s="110">
        <f>SUM(B22:B24)</f>
        <v>49331.380000000005</v>
      </c>
      <c r="C25" s="110">
        <f>SUM(C22:C24)</f>
        <v>16269.14</v>
      </c>
      <c r="D25" s="110">
        <f>SUM(D22:D24)</f>
        <v>13741.16</v>
      </c>
      <c r="E25" s="120">
        <f>SUM(B25:D25)</f>
        <v>79341.680000000008</v>
      </c>
      <c r="F25" s="145">
        <f>SUM(F22:F24)</f>
        <v>836.27126999999996</v>
      </c>
      <c r="G25" s="24"/>
      <c r="H25" s="44" t="s">
        <v>37</v>
      </c>
      <c r="I25" s="91">
        <f>SUM(I22:I24)</f>
        <v>53601.4</v>
      </c>
      <c r="J25" s="91">
        <f>SUM(J22:J24)</f>
        <v>21208.129999999997</v>
      </c>
      <c r="K25" s="91">
        <f>SUM(K22:K24)</f>
        <v>18071.46</v>
      </c>
      <c r="L25" s="107">
        <f>SUM(I25:K25)</f>
        <v>92880.989999999991</v>
      </c>
      <c r="M25" s="139">
        <f>SUM(M22:M24)</f>
        <v>97.903959999999998</v>
      </c>
      <c r="O25" s="44" t="s">
        <v>37</v>
      </c>
      <c r="P25" s="91">
        <f>SUM(P22:P24)</f>
        <v>64476.070000000007</v>
      </c>
      <c r="Q25" s="91">
        <f>SUM(Q22:Q24)</f>
        <v>26016.16</v>
      </c>
      <c r="R25" s="91">
        <f>SUM(R22:R24)</f>
        <v>21018.010000000002</v>
      </c>
      <c r="S25" s="107">
        <f>SUM(P25:R25)</f>
        <v>111510.24000000002</v>
      </c>
      <c r="T25" s="163">
        <f>SUM(T22:T24)</f>
        <v>109.86457999999999</v>
      </c>
      <c r="V25" s="44" t="s">
        <v>37</v>
      </c>
      <c r="W25" s="91">
        <f>SUM(W22:W24)</f>
        <v>0</v>
      </c>
      <c r="X25" s="91">
        <f>SUM(X22:X24)</f>
        <v>0</v>
      </c>
      <c r="Y25" s="91">
        <f>SUM(Y22:Y24)</f>
        <v>0</v>
      </c>
      <c r="Z25" s="107">
        <f>SUM(W25:Y25)</f>
        <v>0</v>
      </c>
      <c r="AA25" s="107"/>
    </row>
    <row r="26" spans="1:27" ht="15.75" x14ac:dyDescent="0.25">
      <c r="A26" s="44"/>
      <c r="B26" s="110"/>
      <c r="C26" s="110"/>
      <c r="D26" s="110"/>
      <c r="E26" s="140" t="s">
        <v>92</v>
      </c>
      <c r="F26" s="141">
        <f>E25/F25</f>
        <v>94.875530041824845</v>
      </c>
      <c r="G26" s="24"/>
      <c r="H26" s="142"/>
      <c r="I26" s="143"/>
      <c r="J26" s="143"/>
      <c r="K26" s="143"/>
      <c r="L26" s="140" t="s">
        <v>92</v>
      </c>
      <c r="M26" s="141">
        <f>L25/M25</f>
        <v>948.69492510823864</v>
      </c>
      <c r="O26" s="142"/>
      <c r="P26" s="143"/>
      <c r="Q26" s="143"/>
      <c r="R26" s="143"/>
      <c r="S26" s="140" t="s">
        <v>92</v>
      </c>
      <c r="T26" s="141">
        <f>S25/T25</f>
        <v>1014.9789859479737</v>
      </c>
      <c r="V26" s="142"/>
      <c r="W26" s="143"/>
      <c r="X26" s="143"/>
      <c r="Y26" s="143"/>
      <c r="Z26" s="144"/>
      <c r="AA26" s="144"/>
    </row>
    <row r="27" spans="1:27" x14ac:dyDescent="0.25">
      <c r="A27" s="62" t="s">
        <v>82</v>
      </c>
      <c r="B27" s="172" t="s">
        <v>83</v>
      </c>
      <c r="C27" s="172"/>
      <c r="D27" s="172"/>
      <c r="E27" s="172"/>
      <c r="F27" s="172"/>
      <c r="G27" s="172"/>
    </row>
    <row r="29" spans="1:27" ht="15.75" x14ac:dyDescent="0.25">
      <c r="A29" s="173" t="s">
        <v>20</v>
      </c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5"/>
      <c r="N29" s="112"/>
      <c r="O29" s="82"/>
      <c r="P29" s="82"/>
    </row>
    <row r="30" spans="1:27" ht="15.75" x14ac:dyDescent="0.25">
      <c r="A30" s="28"/>
      <c r="B30" s="29" t="s">
        <v>1</v>
      </c>
      <c r="C30" s="30" t="s">
        <v>2</v>
      </c>
      <c r="D30" s="30" t="s">
        <v>3</v>
      </c>
      <c r="E30" s="30" t="s">
        <v>4</v>
      </c>
      <c r="F30" s="30" t="s">
        <v>74</v>
      </c>
      <c r="G30" s="30" t="s">
        <v>6</v>
      </c>
      <c r="H30" s="30" t="s">
        <v>84</v>
      </c>
      <c r="I30" s="30" t="s">
        <v>7</v>
      </c>
      <c r="J30" s="30" t="s">
        <v>8</v>
      </c>
      <c r="K30" s="30" t="s">
        <v>9</v>
      </c>
      <c r="L30" s="30" t="s">
        <v>10</v>
      </c>
      <c r="M30" s="30" t="s">
        <v>11</v>
      </c>
      <c r="N30" s="30" t="s">
        <v>37</v>
      </c>
      <c r="O30" s="30" t="s">
        <v>0</v>
      </c>
      <c r="P30" s="31"/>
    </row>
    <row r="31" spans="1:27" ht="15.75" x14ac:dyDescent="0.25">
      <c r="A31" s="32" t="s">
        <v>12</v>
      </c>
      <c r="B31" s="126">
        <f>E5</f>
        <v>15609.740000000002</v>
      </c>
      <c r="C31" s="126">
        <f>E14</f>
        <v>17577.509999999998</v>
      </c>
      <c r="D31" s="125">
        <f>E23</f>
        <v>17386.73</v>
      </c>
      <c r="E31" s="126">
        <f>L5</f>
        <v>18648.190000000002</v>
      </c>
      <c r="F31" s="126">
        <f>L14</f>
        <v>19074.54</v>
      </c>
      <c r="G31" s="125">
        <f>L23</f>
        <v>19412.72</v>
      </c>
      <c r="H31" s="125">
        <f>S5</f>
        <v>20116.919999999998</v>
      </c>
      <c r="I31" s="125">
        <f>S14</f>
        <v>19874.38</v>
      </c>
      <c r="J31" s="125">
        <f>S23</f>
        <v>21174.959999999999</v>
      </c>
      <c r="K31" s="126">
        <f>Z5</f>
        <v>0</v>
      </c>
      <c r="L31" s="125">
        <f>Z14</f>
        <v>0</v>
      </c>
      <c r="M31" s="126">
        <f>Z23</f>
        <v>0</v>
      </c>
      <c r="N31" s="126">
        <f>SUM(B31:M31)</f>
        <v>168875.68999999997</v>
      </c>
      <c r="O31" s="126">
        <f>AVERAGE(B31:M31)</f>
        <v>14072.974166666665</v>
      </c>
      <c r="P31" s="33"/>
      <c r="Q31" s="27"/>
    </row>
    <row r="32" spans="1:27" ht="15.75" x14ac:dyDescent="0.25">
      <c r="A32" s="32" t="s">
        <v>13</v>
      </c>
      <c r="B32" s="126">
        <f>E6</f>
        <v>40865.1</v>
      </c>
      <c r="C32" s="126">
        <f>E15</f>
        <v>37069.600000000006</v>
      </c>
      <c r="D32" s="125">
        <f>E24</f>
        <v>46310.41</v>
      </c>
      <c r="E32" s="126">
        <f>L6</f>
        <v>51535.08</v>
      </c>
      <c r="F32" s="126">
        <f>L15</f>
        <v>49071.66</v>
      </c>
      <c r="G32" s="125">
        <f>L24</f>
        <v>53354.62</v>
      </c>
      <c r="H32" s="125">
        <f>S6</f>
        <v>55095.28</v>
      </c>
      <c r="I32" s="125">
        <f>S15</f>
        <v>48829.48</v>
      </c>
      <c r="J32" s="126">
        <f>S24</f>
        <v>67967.08</v>
      </c>
      <c r="K32" s="126">
        <f>Z6</f>
        <v>0</v>
      </c>
      <c r="L32" s="125">
        <f>Z15</f>
        <v>0</v>
      </c>
      <c r="M32" s="126">
        <f>Z24</f>
        <v>0</v>
      </c>
      <c r="N32" s="126">
        <f>SUM(B32:M32)</f>
        <v>450098.31</v>
      </c>
      <c r="O32" s="126">
        <f>AVERAGE(B32:M32)</f>
        <v>37508.192499999997</v>
      </c>
      <c r="P32" s="33"/>
      <c r="Q32" s="27"/>
    </row>
    <row r="33" spans="1:31" ht="15.75" x14ac:dyDescent="0.25">
      <c r="A33" s="32" t="s">
        <v>14</v>
      </c>
      <c r="B33" s="126">
        <f>E4</f>
        <v>15740.550000000001</v>
      </c>
      <c r="C33" s="126">
        <f>E13</f>
        <v>16249.75</v>
      </c>
      <c r="D33" s="125">
        <f>E22</f>
        <v>15644.539999999999</v>
      </c>
      <c r="E33" s="126">
        <f>L4</f>
        <v>14901.949999999999</v>
      </c>
      <c r="F33" s="126">
        <f>L13</f>
        <v>18886.989999999998</v>
      </c>
      <c r="G33" s="125">
        <f>L22</f>
        <v>20113.650000000001</v>
      </c>
      <c r="H33" s="125">
        <f>S4</f>
        <v>21986.71</v>
      </c>
      <c r="I33" s="127">
        <f>S13</f>
        <v>22320.36</v>
      </c>
      <c r="J33" s="128">
        <f>S22</f>
        <v>22368.2</v>
      </c>
      <c r="K33" s="126">
        <f>Z4</f>
        <v>0</v>
      </c>
      <c r="L33" s="125">
        <f>Z13</f>
        <v>0</v>
      </c>
      <c r="M33" s="126">
        <f>Z22</f>
        <v>0</v>
      </c>
      <c r="N33" s="126">
        <f>SUM(B33:M33)</f>
        <v>168212.7</v>
      </c>
      <c r="O33" s="126">
        <f>AVERAGE(B33:M33)</f>
        <v>14017.725</v>
      </c>
      <c r="P33" s="33"/>
      <c r="Q33" s="27"/>
    </row>
    <row r="34" spans="1:31" ht="15.75" x14ac:dyDescent="0.25">
      <c r="A34" s="4" t="s">
        <v>19</v>
      </c>
      <c r="B34" s="34">
        <f t="shared" ref="B34:M34" si="0">SUM(B31:B33)</f>
        <v>72215.39</v>
      </c>
      <c r="C34" s="34">
        <f>SUM(C31:C33)</f>
        <v>70896.86</v>
      </c>
      <c r="D34" s="34">
        <f t="shared" si="0"/>
        <v>79341.679999999993</v>
      </c>
      <c r="E34" s="34">
        <f t="shared" si="0"/>
        <v>85085.22</v>
      </c>
      <c r="F34" s="34">
        <f t="shared" si="0"/>
        <v>87033.19</v>
      </c>
      <c r="G34" s="34">
        <f t="shared" si="0"/>
        <v>92880.989999999991</v>
      </c>
      <c r="H34" s="34">
        <f t="shared" si="0"/>
        <v>97198.91</v>
      </c>
      <c r="I34" s="34">
        <f t="shared" si="0"/>
        <v>91024.22</v>
      </c>
      <c r="J34" s="34">
        <f t="shared" si="0"/>
        <v>111510.24</v>
      </c>
      <c r="K34" s="34">
        <f t="shared" si="0"/>
        <v>0</v>
      </c>
      <c r="L34" s="34">
        <f t="shared" si="0"/>
        <v>0</v>
      </c>
      <c r="M34" s="34">
        <f t="shared" si="0"/>
        <v>0</v>
      </c>
      <c r="N34" s="118">
        <f>SUM(B34:M34)</f>
        <v>787186.7</v>
      </c>
      <c r="O34" s="34">
        <f>SUM(O31:O33)</f>
        <v>65598.891666666663</v>
      </c>
      <c r="P34" s="35"/>
      <c r="Q34" s="68"/>
    </row>
    <row r="35" spans="1:31" s="105" customFormat="1" ht="18.75" x14ac:dyDescent="0.3">
      <c r="A35" s="102" t="s">
        <v>81</v>
      </c>
      <c r="B35" s="103" t="e">
        <f>#REF!</f>
        <v>#REF!</v>
      </c>
      <c r="C35" s="103" t="e">
        <f>#REF!</f>
        <v>#REF!</v>
      </c>
      <c r="D35" s="103" t="e">
        <f>#REF!</f>
        <v>#REF!</v>
      </c>
      <c r="E35" s="103">
        <f>M7</f>
        <v>914.75806</v>
      </c>
      <c r="F35" s="103"/>
      <c r="G35" s="103">
        <f>M25</f>
        <v>97.903959999999998</v>
      </c>
      <c r="H35" s="103">
        <f>T7</f>
        <v>96.570340000000002</v>
      </c>
      <c r="I35" s="103">
        <f>T16</f>
        <v>88.876499999999993</v>
      </c>
      <c r="J35" s="103">
        <f>T25</f>
        <v>109.86457999999999</v>
      </c>
      <c r="K35" s="103">
        <f>Z7</f>
        <v>0</v>
      </c>
      <c r="L35" s="103">
        <f>Z16</f>
        <v>0</v>
      </c>
      <c r="M35" s="103">
        <f>AA25</f>
        <v>0</v>
      </c>
      <c r="N35" s="103" t="e">
        <f>SUM(B35:M35)</f>
        <v>#REF!</v>
      </c>
      <c r="O35" s="103" t="e">
        <f>N35/8</f>
        <v>#REF!</v>
      </c>
      <c r="P35" s="104"/>
      <c r="AC35"/>
      <c r="AD35"/>
      <c r="AE35"/>
    </row>
    <row r="37" spans="1:31" s="123" customFormat="1" ht="15.75" x14ac:dyDescent="0.25">
      <c r="A37" s="124" t="s">
        <v>85</v>
      </c>
      <c r="B37" s="124" t="s">
        <v>1</v>
      </c>
      <c r="C37" s="124" t="s">
        <v>2</v>
      </c>
      <c r="D37" s="124" t="s">
        <v>3</v>
      </c>
      <c r="E37" s="124" t="s">
        <v>4</v>
      </c>
      <c r="F37" s="124"/>
      <c r="G37" s="124" t="s">
        <v>6</v>
      </c>
      <c r="H37" s="124" t="s">
        <v>84</v>
      </c>
      <c r="I37" s="124" t="s">
        <v>7</v>
      </c>
      <c r="J37" s="124" t="s">
        <v>8</v>
      </c>
      <c r="K37" s="124" t="s">
        <v>9</v>
      </c>
      <c r="L37" s="124" t="s">
        <v>10</v>
      </c>
      <c r="M37" s="124" t="s">
        <v>11</v>
      </c>
      <c r="N37" s="124" t="s">
        <v>37</v>
      </c>
      <c r="O37" s="124" t="s">
        <v>0</v>
      </c>
    </row>
    <row r="38" spans="1:31" s="123" customFormat="1" ht="15.75" x14ac:dyDescent="0.25">
      <c r="A38" s="124">
        <v>2025</v>
      </c>
      <c r="B38" s="137">
        <f>E7</f>
        <v>72215.39</v>
      </c>
      <c r="C38" s="137">
        <f>E16</f>
        <v>79235.16</v>
      </c>
      <c r="D38" s="137">
        <f>E25</f>
        <v>79341.680000000008</v>
      </c>
      <c r="E38" s="137">
        <f>L7</f>
        <v>85085.219999999987</v>
      </c>
      <c r="F38" s="137"/>
      <c r="G38" s="137">
        <f>L25</f>
        <v>92880.989999999991</v>
      </c>
      <c r="H38" s="137">
        <f>S7</f>
        <v>97198.91</v>
      </c>
      <c r="I38" s="137">
        <f>S16</f>
        <v>91024.22</v>
      </c>
      <c r="J38" s="137">
        <f>S25</f>
        <v>111510.24000000002</v>
      </c>
      <c r="K38" s="137">
        <f>Z7</f>
        <v>0</v>
      </c>
      <c r="L38" s="137">
        <f>Z16</f>
        <v>0</v>
      </c>
      <c r="M38" s="137">
        <f>Z25</f>
        <v>0</v>
      </c>
      <c r="N38" s="119">
        <f t="shared" ref="B38:N39" si="1">N33</f>
        <v>168212.7</v>
      </c>
      <c r="O38" s="119">
        <f>N38/12</f>
        <v>14017.725</v>
      </c>
    </row>
    <row r="39" spans="1:31" ht="15.75" x14ac:dyDescent="0.25">
      <c r="A39" s="2">
        <v>2024</v>
      </c>
      <c r="B39" s="116">
        <f t="shared" si="1"/>
        <v>72215.39</v>
      </c>
      <c r="C39" s="116">
        <f t="shared" si="1"/>
        <v>70896.86</v>
      </c>
      <c r="D39" s="116">
        <f t="shared" si="1"/>
        <v>79341.679999999993</v>
      </c>
      <c r="E39" s="116">
        <f t="shared" si="1"/>
        <v>85085.22</v>
      </c>
      <c r="F39" s="116"/>
      <c r="G39" s="116">
        <f t="shared" si="1"/>
        <v>92880.989999999991</v>
      </c>
      <c r="H39" s="116">
        <f t="shared" si="1"/>
        <v>97198.91</v>
      </c>
      <c r="I39" s="116">
        <f t="shared" si="1"/>
        <v>91024.22</v>
      </c>
      <c r="J39" s="116">
        <f t="shared" si="1"/>
        <v>111510.24</v>
      </c>
      <c r="K39" s="116">
        <f t="shared" si="1"/>
        <v>0</v>
      </c>
      <c r="L39" s="116">
        <f t="shared" si="1"/>
        <v>0</v>
      </c>
      <c r="M39" s="116">
        <f t="shared" si="1"/>
        <v>0</v>
      </c>
      <c r="N39" s="119">
        <f t="shared" si="1"/>
        <v>787186.7</v>
      </c>
      <c r="O39" s="119">
        <f>N39/12</f>
        <v>65598.891666666663</v>
      </c>
    </row>
    <row r="40" spans="1:31" ht="15.75" x14ac:dyDescent="0.25">
      <c r="A40" s="2">
        <v>2023</v>
      </c>
      <c r="B40" s="116">
        <f>'[1]ENERGIA 2023 - LIVRE'!$B$37</f>
        <v>62597.68</v>
      </c>
      <c r="C40" s="116">
        <f>'[1]ENERGIA 2023 - LIVRE'!$C$37</f>
        <v>62244.930000000008</v>
      </c>
      <c r="D40" s="116">
        <f>'[1]ENERGIA 2023 - LIVRE'!$D$37</f>
        <v>46282.960000000006</v>
      </c>
      <c r="E40" s="116">
        <f>'[1]ENERGIA 2023 - LIVRE'!$E$37</f>
        <v>54003.360000000001</v>
      </c>
      <c r="F40" s="116"/>
      <c r="G40" s="116">
        <f>'[1]ENERGIA 2023 - LIVRE'!$G$37</f>
        <v>65134.19</v>
      </c>
      <c r="H40" s="116">
        <f>'[1]ENERGIA 2023 - LIVRE'!$H$37</f>
        <v>65293.94</v>
      </c>
      <c r="I40" s="116">
        <f>'[1]ENERGIA 2023 - LIVRE'!$I$37</f>
        <v>64927.98</v>
      </c>
      <c r="J40" s="116">
        <f>'[1]ENERGIA 2023 - LIVRE'!$J$37</f>
        <v>74762.17</v>
      </c>
      <c r="K40" s="116">
        <f>'[1]ENERGIA 2023 - LIVRE'!$K$37</f>
        <v>71904.87</v>
      </c>
      <c r="L40" s="116">
        <f>'[1]ENERGIA 2023 - LIVRE'!$L$37</f>
        <v>73080.079999999987</v>
      </c>
      <c r="M40" s="116">
        <f>'[1]ENERGIA 2023 - LIVRE'!$M$37</f>
        <v>66751.19</v>
      </c>
      <c r="N40" s="119">
        <f>SUM(B40:M40)</f>
        <v>706983.34999999986</v>
      </c>
      <c r="O40" s="119">
        <f>N40/12</f>
        <v>58915.279166666653</v>
      </c>
    </row>
    <row r="41" spans="1:31" ht="15.75" x14ac:dyDescent="0.25">
      <c r="A41" s="2">
        <v>2022</v>
      </c>
      <c r="B41" s="115">
        <v>84625.79</v>
      </c>
      <c r="C41" s="115">
        <v>95776.52</v>
      </c>
      <c r="D41" s="115">
        <v>98234.23</v>
      </c>
      <c r="E41" s="115">
        <v>82765.8</v>
      </c>
      <c r="F41" s="115"/>
      <c r="G41" s="115">
        <v>73467.53</v>
      </c>
      <c r="H41" s="115">
        <v>71232.929999999993</v>
      </c>
      <c r="I41" s="115">
        <v>78602.33</v>
      </c>
      <c r="J41" s="115">
        <v>74305.13</v>
      </c>
      <c r="K41" s="115">
        <v>83561.7</v>
      </c>
      <c r="L41" s="115">
        <v>68892.09</v>
      </c>
      <c r="M41" s="115">
        <v>24875.48</v>
      </c>
      <c r="N41" s="119">
        <f>SUM(A41:M41)</f>
        <v>838361.52999999991</v>
      </c>
      <c r="O41" s="119">
        <f>N41/12</f>
        <v>69863.460833333331</v>
      </c>
    </row>
    <row r="42" spans="1:31" x14ac:dyDescent="0.25">
      <c r="A42" s="121" t="s">
        <v>87</v>
      </c>
      <c r="B42" s="69">
        <f>B40-B39</f>
        <v>-9617.7099999999991</v>
      </c>
      <c r="C42" s="84">
        <f>C40-C39</f>
        <v>-8651.929999999993</v>
      </c>
      <c r="D42" s="84">
        <f t="shared" ref="D42:N42" si="2">D40-D39</f>
        <v>-33058.719999999987</v>
      </c>
      <c r="E42" s="84">
        <f t="shared" si="2"/>
        <v>-31081.86</v>
      </c>
      <c r="F42" s="84"/>
      <c r="G42" s="84">
        <f t="shared" si="2"/>
        <v>-27746.799999999988</v>
      </c>
      <c r="H42" s="84">
        <f t="shared" si="2"/>
        <v>-31904.97</v>
      </c>
      <c r="I42" s="84">
        <f t="shared" si="2"/>
        <v>-26096.239999999998</v>
      </c>
      <c r="J42" s="84">
        <f t="shared" si="2"/>
        <v>-36748.070000000007</v>
      </c>
      <c r="K42" s="84">
        <f t="shared" si="2"/>
        <v>71904.87</v>
      </c>
      <c r="L42" s="84">
        <f t="shared" si="2"/>
        <v>73080.079999999987</v>
      </c>
      <c r="M42" s="84">
        <f t="shared" si="2"/>
        <v>66751.19</v>
      </c>
      <c r="N42" s="84">
        <f t="shared" si="2"/>
        <v>-80203.350000000093</v>
      </c>
      <c r="O42" s="84"/>
    </row>
    <row r="43" spans="1:31" x14ac:dyDescent="0.25">
      <c r="A43" s="39"/>
    </row>
  </sheetData>
  <mergeCells count="49">
    <mergeCell ref="Z20:Z21"/>
    <mergeCell ref="B27:G27"/>
    <mergeCell ref="A29:M29"/>
    <mergeCell ref="B20:D20"/>
    <mergeCell ref="E20:E21"/>
    <mergeCell ref="I20:K20"/>
    <mergeCell ref="L20:L21"/>
    <mergeCell ref="P20:R20"/>
    <mergeCell ref="S20:S21"/>
    <mergeCell ref="F20:F21"/>
    <mergeCell ref="M20:M21"/>
    <mergeCell ref="T20:T21"/>
    <mergeCell ref="W11:Y11"/>
    <mergeCell ref="Z11:Z12"/>
    <mergeCell ref="A19:E19"/>
    <mergeCell ref="H19:L19"/>
    <mergeCell ref="O19:S19"/>
    <mergeCell ref="V19:Z19"/>
    <mergeCell ref="B11:D11"/>
    <mergeCell ref="E11:E12"/>
    <mergeCell ref="I11:K11"/>
    <mergeCell ref="L11:L12"/>
    <mergeCell ref="P11:R11"/>
    <mergeCell ref="S11:S12"/>
    <mergeCell ref="F11:F12"/>
    <mergeCell ref="M11:M12"/>
    <mergeCell ref="T11:T12"/>
    <mergeCell ref="W2:Y2"/>
    <mergeCell ref="Z2:Z3"/>
    <mergeCell ref="A10:E10"/>
    <mergeCell ref="H10:L10"/>
    <mergeCell ref="O10:S10"/>
    <mergeCell ref="V10:Z10"/>
    <mergeCell ref="AA2:AA3"/>
    <mergeCell ref="AA11:AA12"/>
    <mergeCell ref="AA20:AA21"/>
    <mergeCell ref="A1:E1"/>
    <mergeCell ref="H1:L1"/>
    <mergeCell ref="O1:S1"/>
    <mergeCell ref="V1:Z1"/>
    <mergeCell ref="B2:D2"/>
    <mergeCell ref="E2:E3"/>
    <mergeCell ref="I2:K2"/>
    <mergeCell ref="L2:L3"/>
    <mergeCell ref="P2:R2"/>
    <mergeCell ref="S2:S3"/>
    <mergeCell ref="F2:F3"/>
    <mergeCell ref="M2:M3"/>
    <mergeCell ref="T2:T3"/>
  </mergeCells>
  <pageMargins left="0.511811024" right="0.511811024" top="0.78740157499999996" bottom="0.78740157499999996" header="0.31496062000000002" footer="0.31496062000000002"/>
  <pageSetup paperSize="9" scale="77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E48"/>
  <sheetViews>
    <sheetView topLeftCell="H3" zoomScale="87" zoomScaleNormal="87" workbookViewId="0">
      <selection activeCell="R22" sqref="R22"/>
    </sheetView>
  </sheetViews>
  <sheetFormatPr defaultRowHeight="15" x14ac:dyDescent="0.25"/>
  <cols>
    <col min="1" max="1" width="26.5703125" customWidth="1"/>
    <col min="2" max="3" width="18.28515625" bestFit="1" customWidth="1"/>
    <col min="4" max="4" width="23.28515625" bestFit="1" customWidth="1"/>
    <col min="5" max="5" width="18.7109375" customWidth="1"/>
    <col min="6" max="6" width="25.5703125" bestFit="1" customWidth="1"/>
    <col min="7" max="7" width="18.28515625" bestFit="1" customWidth="1"/>
    <col min="8" max="8" width="19.42578125" bestFit="1" customWidth="1"/>
    <col min="9" max="10" width="18.28515625" bestFit="1" customWidth="1"/>
    <col min="11" max="11" width="23.28515625" bestFit="1" customWidth="1"/>
    <col min="12" max="12" width="19.28515625" bestFit="1" customWidth="1"/>
    <col min="13" max="13" width="18.28515625" bestFit="1" customWidth="1"/>
    <col min="14" max="14" width="19.5703125" bestFit="1" customWidth="1"/>
    <col min="15" max="15" width="19.42578125" bestFit="1" customWidth="1"/>
    <col min="16" max="16" width="14.42578125" bestFit="1" customWidth="1"/>
    <col min="17" max="17" width="18.7109375" customWidth="1"/>
    <col min="18" max="18" width="23.28515625" bestFit="1" customWidth="1"/>
    <col min="19" max="19" width="15" customWidth="1"/>
    <col min="20" max="20" width="14.7109375" bestFit="1" customWidth="1"/>
    <col min="22" max="22" width="19.42578125" bestFit="1" customWidth="1"/>
    <col min="23" max="23" width="15.42578125" customWidth="1"/>
    <col min="24" max="24" width="18.85546875" customWidth="1"/>
    <col min="25" max="25" width="23.28515625" bestFit="1" customWidth="1"/>
    <col min="26" max="26" width="15.28515625" customWidth="1"/>
    <col min="27" max="27" width="14.5703125" customWidth="1"/>
  </cols>
  <sheetData>
    <row r="1" spans="1:27" x14ac:dyDescent="0.25">
      <c r="A1" s="166" t="s">
        <v>101</v>
      </c>
      <c r="B1" s="166"/>
      <c r="C1" s="166"/>
      <c r="D1" s="166"/>
      <c r="E1" s="166"/>
      <c r="F1" s="93"/>
      <c r="H1" s="166" t="s">
        <v>101</v>
      </c>
      <c r="I1" s="166"/>
      <c r="J1" s="166"/>
      <c r="K1" s="166"/>
      <c r="L1" s="166"/>
      <c r="M1" s="93"/>
      <c r="O1" s="166" t="s">
        <v>101</v>
      </c>
      <c r="P1" s="166"/>
      <c r="Q1" s="166"/>
      <c r="R1" s="166"/>
      <c r="S1" s="166"/>
      <c r="T1" s="93"/>
      <c r="V1" s="166" t="s">
        <v>101</v>
      </c>
      <c r="W1" s="166"/>
      <c r="X1" s="166"/>
      <c r="Y1" s="166"/>
      <c r="Z1" s="166"/>
      <c r="AA1" s="93"/>
    </row>
    <row r="2" spans="1:27" ht="15" customHeight="1" x14ac:dyDescent="0.25">
      <c r="A2" s="43"/>
      <c r="B2" s="167" t="s">
        <v>69</v>
      </c>
      <c r="C2" s="168"/>
      <c r="D2" s="169"/>
      <c r="E2" s="170" t="s">
        <v>37</v>
      </c>
      <c r="F2" s="98"/>
      <c r="H2" s="43"/>
      <c r="I2" s="167" t="s">
        <v>73</v>
      </c>
      <c r="J2" s="168"/>
      <c r="K2" s="169"/>
      <c r="L2" s="170" t="s">
        <v>37</v>
      </c>
      <c r="M2" s="98"/>
      <c r="O2" s="43"/>
      <c r="P2" s="167" t="s">
        <v>15</v>
      </c>
      <c r="Q2" s="168"/>
      <c r="R2" s="169"/>
      <c r="S2" s="170" t="s">
        <v>37</v>
      </c>
      <c r="T2" s="98"/>
      <c r="V2" s="43"/>
      <c r="W2" s="167" t="s">
        <v>78</v>
      </c>
      <c r="X2" s="168"/>
      <c r="Y2" s="169"/>
      <c r="Z2" s="170" t="s">
        <v>37</v>
      </c>
      <c r="AA2" s="98"/>
    </row>
    <row r="3" spans="1:27" ht="45" customHeight="1" x14ac:dyDescent="0.25">
      <c r="A3" s="92"/>
      <c r="B3" s="97" t="s">
        <v>70</v>
      </c>
      <c r="C3" s="97" t="s">
        <v>86</v>
      </c>
      <c r="D3" s="97" t="s">
        <v>91</v>
      </c>
      <c r="E3" s="171"/>
      <c r="F3" s="99" t="s">
        <v>81</v>
      </c>
      <c r="H3" s="92"/>
      <c r="I3" s="97" t="s">
        <v>70</v>
      </c>
      <c r="J3" s="97" t="s">
        <v>86</v>
      </c>
      <c r="K3" s="97" t="s">
        <v>90</v>
      </c>
      <c r="L3" s="171"/>
      <c r="M3" s="113" t="s">
        <v>81</v>
      </c>
      <c r="O3" s="92"/>
      <c r="P3" s="97" t="s">
        <v>70</v>
      </c>
      <c r="Q3" s="97" t="s">
        <v>86</v>
      </c>
      <c r="R3" s="97" t="s">
        <v>90</v>
      </c>
      <c r="S3" s="171"/>
      <c r="T3" s="99" t="s">
        <v>81</v>
      </c>
      <c r="V3" s="92"/>
      <c r="W3" s="97" t="s">
        <v>70</v>
      </c>
      <c r="X3" s="97" t="s">
        <v>86</v>
      </c>
      <c r="Y3" s="97" t="s">
        <v>90</v>
      </c>
      <c r="Z3" s="171"/>
      <c r="AA3" s="99" t="s">
        <v>81</v>
      </c>
    </row>
    <row r="4" spans="1:27" ht="15.75" x14ac:dyDescent="0.25">
      <c r="A4" s="38" t="s">
        <v>14</v>
      </c>
      <c r="B4" s="78">
        <v>9132.27</v>
      </c>
      <c r="C4" s="78">
        <v>3600.54</v>
      </c>
      <c r="D4" s="78">
        <v>3007.78</v>
      </c>
      <c r="E4" s="106">
        <f>SUM(B4:D4)</f>
        <v>15740.590000000002</v>
      </c>
      <c r="F4" s="100" t="e">
        <f>#REF!-#REF!</f>
        <v>#REF!</v>
      </c>
      <c r="G4" s="132"/>
      <c r="H4" s="38" t="s">
        <v>14</v>
      </c>
      <c r="I4" s="78">
        <v>8554.7099999999991</v>
      </c>
      <c r="J4" s="78">
        <v>3352.83</v>
      </c>
      <c r="K4" s="78"/>
      <c r="L4" s="106">
        <f>SUM(I4:K4)</f>
        <v>11907.539999999999</v>
      </c>
      <c r="M4" s="114" t="e">
        <f>#REF!-#REF!</f>
        <v>#REF!</v>
      </c>
      <c r="O4" s="38" t="s">
        <v>14</v>
      </c>
      <c r="P4" s="78">
        <v>13310.88</v>
      </c>
      <c r="Q4" s="78">
        <v>4986.6099999999997</v>
      </c>
      <c r="R4" s="78">
        <v>3689.22</v>
      </c>
      <c r="S4" s="106">
        <f>SUM(P4:R4)</f>
        <v>21986.71</v>
      </c>
      <c r="T4" s="100" t="e">
        <f>#REF!-#REF!</f>
        <v>#REF!</v>
      </c>
      <c r="V4" s="38" t="s">
        <v>14</v>
      </c>
      <c r="W4" s="132"/>
      <c r="X4" s="78"/>
      <c r="Y4" s="78"/>
      <c r="Z4" s="106">
        <f>SUM(W4:Y4)</f>
        <v>0</v>
      </c>
      <c r="AA4" s="100" t="e">
        <f>#REF!-Z4</f>
        <v>#REF!</v>
      </c>
    </row>
    <row r="5" spans="1:27" ht="15.75" x14ac:dyDescent="0.25">
      <c r="A5" s="38" t="s">
        <v>12</v>
      </c>
      <c r="B5" s="78">
        <v>8969.6200000000008</v>
      </c>
      <c r="C5" s="78">
        <v>3592.57</v>
      </c>
      <c r="D5" s="78">
        <v>3047.55</v>
      </c>
      <c r="E5" s="106">
        <f>SUM(B5:D5)</f>
        <v>15609.740000000002</v>
      </c>
      <c r="F5" s="100" t="e">
        <f>#REF!-#REF!</f>
        <v>#REF!</v>
      </c>
      <c r="G5" s="24"/>
      <c r="H5" s="38" t="s">
        <v>12</v>
      </c>
      <c r="I5" s="78">
        <v>30158.63</v>
      </c>
      <c r="J5" s="78">
        <v>4265.54</v>
      </c>
      <c r="K5" s="78"/>
      <c r="L5" s="106">
        <f>SUM(I5:K5)</f>
        <v>34424.17</v>
      </c>
      <c r="M5" s="114" t="e">
        <f>#REF!-#REF!</f>
        <v>#REF!</v>
      </c>
      <c r="O5" s="38" t="s">
        <v>12</v>
      </c>
      <c r="P5" s="78">
        <v>11177.82</v>
      </c>
      <c r="Q5" s="78">
        <v>4596.1499999999996</v>
      </c>
      <c r="R5" s="78">
        <v>4342.95</v>
      </c>
      <c r="S5" s="106">
        <f>SUM(P5:R5)</f>
        <v>20116.919999999998</v>
      </c>
      <c r="T5" s="100" t="e">
        <f>#REF!-#REF!</f>
        <v>#REF!</v>
      </c>
      <c r="V5" s="38" t="s">
        <v>12</v>
      </c>
      <c r="W5" s="78"/>
      <c r="X5" s="78"/>
      <c r="Y5" s="78"/>
      <c r="Z5" s="106">
        <f>SUM(W5:Y5)</f>
        <v>0</v>
      </c>
      <c r="AA5" s="100" t="e">
        <f>#REF!-Z5</f>
        <v>#REF!</v>
      </c>
    </row>
    <row r="6" spans="1:27" ht="15.75" x14ac:dyDescent="0.25">
      <c r="A6" s="38" t="s">
        <v>46</v>
      </c>
      <c r="B6" s="78">
        <v>24013</v>
      </c>
      <c r="C6" s="78">
        <v>9229.5400000000009</v>
      </c>
      <c r="D6" s="78">
        <v>7622.56</v>
      </c>
      <c r="E6" s="106">
        <f>SUM(B6:D6)</f>
        <v>40865.1</v>
      </c>
      <c r="F6" s="100" t="e">
        <f>#REF!-#REF!</f>
        <v>#REF!</v>
      </c>
      <c r="G6" s="134"/>
      <c r="H6" s="38" t="s">
        <v>46</v>
      </c>
      <c r="I6" s="78">
        <v>10871.41</v>
      </c>
      <c r="J6" s="78">
        <v>12076.31</v>
      </c>
      <c r="K6" s="78"/>
      <c r="L6" s="106">
        <f>SUM(I6:K6)</f>
        <v>22947.72</v>
      </c>
      <c r="M6" s="114" t="e">
        <f>#REF!-#REF!</f>
        <v>#REF!</v>
      </c>
      <c r="O6" s="38" t="s">
        <v>46</v>
      </c>
      <c r="P6" s="78">
        <v>31820.47</v>
      </c>
      <c r="Q6" s="132">
        <v>13037.85</v>
      </c>
      <c r="R6" s="135">
        <v>10236.959999999999</v>
      </c>
      <c r="S6" s="106">
        <f>SUM(P6:R6)</f>
        <v>55095.28</v>
      </c>
      <c r="T6" s="100" t="e">
        <f>#REF!-#REF!</f>
        <v>#REF!</v>
      </c>
      <c r="V6" s="38" t="s">
        <v>46</v>
      </c>
      <c r="W6" s="78"/>
      <c r="X6" s="78"/>
      <c r="Y6" s="78"/>
      <c r="Z6" s="106">
        <f>SUM(W6:Y6)</f>
        <v>0</v>
      </c>
      <c r="AA6" s="100" t="e">
        <f>#REF!-Z6</f>
        <v>#REF!</v>
      </c>
    </row>
    <row r="7" spans="1:27" ht="15.75" x14ac:dyDescent="0.25">
      <c r="A7" s="44" t="s">
        <v>37</v>
      </c>
      <c r="B7" s="91">
        <f>SUM(B4:B6)</f>
        <v>42114.89</v>
      </c>
      <c r="C7" s="91">
        <f>SUM(C4:C6)</f>
        <v>16422.650000000001</v>
      </c>
      <c r="D7" s="91">
        <f>SUM(D4:D6)</f>
        <v>13677.89</v>
      </c>
      <c r="E7" s="107">
        <f>SUM(B7:D7)</f>
        <v>72215.429999999993</v>
      </c>
      <c r="F7" s="108" t="e">
        <f>SUM(F4:F6)</f>
        <v>#REF!</v>
      </c>
      <c r="H7" s="44" t="s">
        <v>37</v>
      </c>
      <c r="I7" s="91">
        <f>SUM(I4:I6)</f>
        <v>49584.75</v>
      </c>
      <c r="J7" s="91">
        <f>SUM(J4:J6)</f>
        <v>19694.68</v>
      </c>
      <c r="K7" s="91">
        <f>SUM(K4:K6)</f>
        <v>0</v>
      </c>
      <c r="L7" s="107">
        <f>SUM(I7:K7)</f>
        <v>69279.429999999993</v>
      </c>
      <c r="M7" s="108" t="e">
        <f>SUM(M4:M6)</f>
        <v>#REF!</v>
      </c>
      <c r="O7" s="44" t="s">
        <v>37</v>
      </c>
      <c r="P7" s="91">
        <f>SUM(P4:P6)</f>
        <v>56309.17</v>
      </c>
      <c r="Q7" s="91">
        <f>SUM(Q4:Q6)</f>
        <v>22620.61</v>
      </c>
      <c r="R7" s="91">
        <f>SUM(R4:R6)</f>
        <v>18269.129999999997</v>
      </c>
      <c r="S7" s="107">
        <f>SUM(P7:R7)</f>
        <v>97198.91</v>
      </c>
      <c r="T7" s="108" t="e">
        <f>SUM(T4:T6)</f>
        <v>#REF!</v>
      </c>
      <c r="V7" s="44" t="s">
        <v>37</v>
      </c>
      <c r="W7" s="91">
        <f>SUM(W5:W6)</f>
        <v>0</v>
      </c>
      <c r="X7" s="91">
        <f>SUM(X4:X6)</f>
        <v>0</v>
      </c>
      <c r="Y7" s="91">
        <f>SUM(Y4:Y6)</f>
        <v>0</v>
      </c>
      <c r="Z7" s="107">
        <f>SUM(W7:Y7)</f>
        <v>0</v>
      </c>
      <c r="AA7" s="108" t="e">
        <f>SUM(AA4:AA6)</f>
        <v>#REF!</v>
      </c>
    </row>
    <row r="8" spans="1:27" x14ac:dyDescent="0.25">
      <c r="F8" s="24"/>
      <c r="G8" s="24"/>
    </row>
    <row r="10" spans="1:27" x14ac:dyDescent="0.25">
      <c r="A10" s="166" t="s">
        <v>101</v>
      </c>
      <c r="B10" s="166"/>
      <c r="C10" s="166"/>
      <c r="D10" s="166"/>
      <c r="E10" s="166"/>
      <c r="F10" s="93"/>
      <c r="H10" s="166" t="s">
        <v>101</v>
      </c>
      <c r="I10" s="166"/>
      <c r="J10" s="166"/>
      <c r="K10" s="166"/>
      <c r="L10" s="166"/>
      <c r="M10" s="93"/>
      <c r="O10" s="166" t="s">
        <v>101</v>
      </c>
      <c r="P10" s="166"/>
      <c r="Q10" s="166"/>
      <c r="R10" s="166"/>
      <c r="S10" s="166"/>
      <c r="T10" s="93"/>
      <c r="V10" s="166" t="s">
        <v>101</v>
      </c>
      <c r="W10" s="166"/>
      <c r="X10" s="166"/>
      <c r="Y10" s="166"/>
      <c r="Z10" s="166"/>
      <c r="AA10" s="93"/>
    </row>
    <row r="11" spans="1:27" x14ac:dyDescent="0.25">
      <c r="A11" s="43"/>
      <c r="B11" s="167" t="s">
        <v>71</v>
      </c>
      <c r="C11" s="168"/>
      <c r="D11" s="169"/>
      <c r="E11" s="170" t="s">
        <v>37</v>
      </c>
      <c r="F11" s="98"/>
      <c r="H11" s="43"/>
      <c r="I11" s="167" t="s">
        <v>74</v>
      </c>
      <c r="J11" s="168"/>
      <c r="K11" s="169"/>
      <c r="L11" s="170" t="s">
        <v>37</v>
      </c>
      <c r="M11" s="98"/>
      <c r="O11" s="43"/>
      <c r="P11" s="167" t="s">
        <v>76</v>
      </c>
      <c r="Q11" s="168"/>
      <c r="R11" s="169"/>
      <c r="S11" s="170" t="s">
        <v>37</v>
      </c>
      <c r="T11" s="98"/>
      <c r="V11" s="43"/>
      <c r="W11" s="167" t="s">
        <v>79</v>
      </c>
      <c r="X11" s="168"/>
      <c r="Y11" s="169"/>
      <c r="Z11" s="170" t="s">
        <v>37</v>
      </c>
      <c r="AA11" s="98"/>
    </row>
    <row r="12" spans="1:27" ht="30" customHeight="1" x14ac:dyDescent="0.25">
      <c r="A12" s="92"/>
      <c r="B12" s="97" t="s">
        <v>70</v>
      </c>
      <c r="C12" s="97" t="s">
        <v>86</v>
      </c>
      <c r="D12" s="97" t="s">
        <v>90</v>
      </c>
      <c r="E12" s="171"/>
      <c r="F12" s="99" t="s">
        <v>81</v>
      </c>
      <c r="H12" s="92"/>
      <c r="I12" s="97" t="s">
        <v>70</v>
      </c>
      <c r="J12" s="97" t="s">
        <v>86</v>
      </c>
      <c r="K12" s="97" t="s">
        <v>90</v>
      </c>
      <c r="L12" s="171"/>
      <c r="M12" s="99" t="s">
        <v>81</v>
      </c>
      <c r="O12" s="92"/>
      <c r="P12" s="97" t="s">
        <v>70</v>
      </c>
      <c r="Q12" s="97" t="s">
        <v>86</v>
      </c>
      <c r="R12" s="97" t="s">
        <v>90</v>
      </c>
      <c r="S12" s="171"/>
      <c r="T12" s="99" t="s">
        <v>81</v>
      </c>
      <c r="V12" s="92"/>
      <c r="W12" s="97" t="s">
        <v>70</v>
      </c>
      <c r="X12" s="97" t="s">
        <v>86</v>
      </c>
      <c r="Y12" s="97" t="s">
        <v>90</v>
      </c>
      <c r="Z12" s="171"/>
      <c r="AA12" s="99" t="s">
        <v>81</v>
      </c>
    </row>
    <row r="13" spans="1:27" x14ac:dyDescent="0.25">
      <c r="A13" s="38" t="s">
        <v>14</v>
      </c>
      <c r="B13" s="78">
        <v>9317.07</v>
      </c>
      <c r="C13" s="78">
        <v>3799.08</v>
      </c>
      <c r="D13" s="78">
        <v>3133.6</v>
      </c>
      <c r="E13" s="106">
        <f>SUM(B13:D13)</f>
        <v>16249.75</v>
      </c>
      <c r="F13" s="100" t="e">
        <f>#REF!-#REF!</f>
        <v>#REF!</v>
      </c>
      <c r="G13" s="101"/>
      <c r="H13" s="38" t="s">
        <v>14</v>
      </c>
      <c r="I13" s="78">
        <v>10906.52</v>
      </c>
      <c r="J13" s="78">
        <v>4265.21</v>
      </c>
      <c r="K13" s="78">
        <v>3715.26</v>
      </c>
      <c r="L13" s="106">
        <f>SUM(I13:K13)</f>
        <v>18886.989999999998</v>
      </c>
      <c r="M13" s="100" t="e">
        <f>#REF!-#REF!</f>
        <v>#REF!</v>
      </c>
      <c r="O13" s="38" t="s">
        <v>14</v>
      </c>
      <c r="P13" s="78">
        <v>13639.91</v>
      </c>
      <c r="Q13" s="78">
        <v>5015.38</v>
      </c>
      <c r="R13" s="160">
        <v>3665.07</v>
      </c>
      <c r="S13" s="106">
        <f>SUM(P13:R13)</f>
        <v>22320.36</v>
      </c>
      <c r="T13" s="100" t="e">
        <f>#REF!-#REF!</f>
        <v>#REF!</v>
      </c>
      <c r="V13" s="38" t="s">
        <v>14</v>
      </c>
      <c r="W13" s="135"/>
      <c r="X13" s="78"/>
      <c r="Y13" s="122"/>
      <c r="Z13" s="106">
        <f>SUM(W13:Y13)</f>
        <v>0</v>
      </c>
      <c r="AA13" s="100" t="e">
        <f>#REF!-Z13</f>
        <v>#REF!</v>
      </c>
    </row>
    <row r="14" spans="1:27" x14ac:dyDescent="0.25">
      <c r="A14" s="38" t="s">
        <v>12</v>
      </c>
      <c r="B14" s="78">
        <v>10020.32</v>
      </c>
      <c r="C14" s="78">
        <v>4176.9399999999996</v>
      </c>
      <c r="D14" s="78">
        <v>3380.25</v>
      </c>
      <c r="E14" s="106">
        <f>SUM(B14:D14)</f>
        <v>17577.509999999998</v>
      </c>
      <c r="F14" s="100" t="e">
        <f>#REF!-#REF!</f>
        <v>#REF!</v>
      </c>
      <c r="H14" s="38" t="s">
        <v>12</v>
      </c>
      <c r="I14" s="122">
        <v>10784.49</v>
      </c>
      <c r="J14" s="159">
        <v>4623.8100000000004</v>
      </c>
      <c r="K14" s="78">
        <v>3666.24</v>
      </c>
      <c r="L14" s="106">
        <f>SUM(I14:K14)</f>
        <v>19074.54</v>
      </c>
      <c r="M14" s="100" t="e">
        <f>#REF!-#REF!</f>
        <v>#REF!</v>
      </c>
      <c r="O14" s="38" t="s">
        <v>12</v>
      </c>
      <c r="P14" s="78">
        <v>11060.18</v>
      </c>
      <c r="Q14" s="78">
        <v>4560.7700000000004</v>
      </c>
      <c r="R14" s="160">
        <v>4253.43</v>
      </c>
      <c r="S14" s="106">
        <f>SUM(P14:R14)</f>
        <v>19874.38</v>
      </c>
      <c r="T14" s="100" t="e">
        <f>#REF!-#REF!</f>
        <v>#REF!</v>
      </c>
      <c r="V14" s="38" t="s">
        <v>12</v>
      </c>
      <c r="W14" s="135"/>
      <c r="X14" s="132"/>
      <c r="Y14" s="78"/>
      <c r="Z14" s="106">
        <f>SUM(W14:Y14)</f>
        <v>0</v>
      </c>
      <c r="AA14" s="100" t="e">
        <f>#REF!-Z14</f>
        <v>#REF!</v>
      </c>
    </row>
    <row r="15" spans="1:27" x14ac:dyDescent="0.25">
      <c r="A15" s="38" t="s">
        <v>46</v>
      </c>
      <c r="B15" s="78">
        <v>26386.74</v>
      </c>
      <c r="C15" s="136">
        <v>10682.86</v>
      </c>
      <c r="D15" s="78">
        <v>8338.2999999999993</v>
      </c>
      <c r="E15" s="106">
        <f>SUM(B15:C15)</f>
        <v>37069.600000000006</v>
      </c>
      <c r="F15" s="100" t="e">
        <f>#REF!-#REF!</f>
        <v>#REF!</v>
      </c>
      <c r="H15" s="38" t="s">
        <v>46</v>
      </c>
      <c r="I15" s="78">
        <v>27645.34</v>
      </c>
      <c r="J15" s="78">
        <v>12155.79</v>
      </c>
      <c r="K15" s="78">
        <v>9270.5300000000007</v>
      </c>
      <c r="L15" s="106">
        <f>SUM(I15:K15)</f>
        <v>49071.66</v>
      </c>
      <c r="M15" s="100" t="e">
        <f>#REF!-#REF!</f>
        <v>#REF!</v>
      </c>
      <c r="O15" s="38" t="s">
        <v>46</v>
      </c>
      <c r="P15" s="78">
        <v>28522.86</v>
      </c>
      <c r="Q15" s="78">
        <v>11423.33</v>
      </c>
      <c r="R15" s="160">
        <v>8883.2900000000009</v>
      </c>
      <c r="S15" s="106">
        <f>SUM(P15:R15)</f>
        <v>48829.48</v>
      </c>
      <c r="T15" s="100" t="e">
        <f>#REF!-#REF!</f>
        <v>#REF!</v>
      </c>
      <c r="V15" s="38" t="s">
        <v>46</v>
      </c>
      <c r="W15" s="135"/>
      <c r="X15" s="78"/>
      <c r="Y15" s="78"/>
      <c r="Z15" s="106">
        <f>SUM(W15:Y15)</f>
        <v>0</v>
      </c>
      <c r="AA15" s="100" t="e">
        <f>#REF!-Z15</f>
        <v>#REF!</v>
      </c>
    </row>
    <row r="16" spans="1:27" ht="15.75" x14ac:dyDescent="0.25">
      <c r="A16" s="44" t="s">
        <v>37</v>
      </c>
      <c r="B16" s="91">
        <f>SUM(B13:B15)</f>
        <v>45724.130000000005</v>
      </c>
      <c r="C16" s="91">
        <f>SUM(C13:C15)</f>
        <v>18658.88</v>
      </c>
      <c r="D16" s="91">
        <f>SUM(D13:D15)</f>
        <v>14852.15</v>
      </c>
      <c r="E16" s="107">
        <f>SUM(B16:D16)</f>
        <v>79235.16</v>
      </c>
      <c r="F16" s="108" t="e">
        <f>SUM(F13:F15)</f>
        <v>#REF!</v>
      </c>
      <c r="H16" s="44" t="s">
        <v>37</v>
      </c>
      <c r="I16" s="91">
        <f>SUM(I14:I15)</f>
        <v>38429.83</v>
      </c>
      <c r="J16" s="91">
        <f>SUM(J13:J15)</f>
        <v>21044.81</v>
      </c>
      <c r="K16" s="91">
        <f>SUM(K13:K15)</f>
        <v>16652.03</v>
      </c>
      <c r="L16" s="107">
        <f>SUM(I16:K16)</f>
        <v>76126.67</v>
      </c>
      <c r="M16" s="108" t="e">
        <f>SUM(M13:M15)</f>
        <v>#REF!</v>
      </c>
      <c r="O16" s="44" t="s">
        <v>37</v>
      </c>
      <c r="P16" s="91">
        <f>SUM(P13:P15)</f>
        <v>53222.95</v>
      </c>
      <c r="Q16" s="91">
        <f>SUM(Q13:Q15)</f>
        <v>20999.480000000003</v>
      </c>
      <c r="R16" s="46">
        <f>SUM(R13:R15)</f>
        <v>16801.79</v>
      </c>
      <c r="S16" s="107">
        <f>SUM(P16:R16)</f>
        <v>91024.22</v>
      </c>
      <c r="T16" s="108" t="e">
        <f>SUM(T13:T15)</f>
        <v>#REF!</v>
      </c>
      <c r="V16" s="44" t="s">
        <v>37</v>
      </c>
      <c r="W16" s="91">
        <f>SUM(W14:W15)</f>
        <v>0</v>
      </c>
      <c r="X16" s="91">
        <f>SUM(X13:X15)</f>
        <v>0</v>
      </c>
      <c r="Y16" s="91">
        <f>SUM(Y14:Y15)</f>
        <v>0</v>
      </c>
      <c r="Z16" s="107">
        <f>SUM(W16:Y16)</f>
        <v>0</v>
      </c>
      <c r="AA16" s="108" t="e">
        <f>SUM(AA13:AA15)</f>
        <v>#REF!</v>
      </c>
    </row>
    <row r="17" spans="1:27" x14ac:dyDescent="0.25">
      <c r="F17" s="24">
        <f>(B15+C15)/51910.93</f>
        <v>0.7141000941420238</v>
      </c>
    </row>
    <row r="19" spans="1:27" x14ac:dyDescent="0.25">
      <c r="A19" s="166" t="s">
        <v>88</v>
      </c>
      <c r="B19" s="166"/>
      <c r="C19" s="166"/>
      <c r="D19" s="166"/>
      <c r="E19" s="166"/>
      <c r="F19" s="93"/>
      <c r="H19" s="166" t="s">
        <v>88</v>
      </c>
      <c r="I19" s="166"/>
      <c r="J19" s="166"/>
      <c r="K19" s="166"/>
      <c r="L19" s="166"/>
      <c r="M19" s="93"/>
      <c r="O19" s="166" t="s">
        <v>88</v>
      </c>
      <c r="P19" s="166"/>
      <c r="Q19" s="166"/>
      <c r="R19" s="166"/>
      <c r="S19" s="166"/>
      <c r="T19" s="93"/>
      <c r="V19" s="166" t="s">
        <v>88</v>
      </c>
      <c r="W19" s="166"/>
      <c r="X19" s="166"/>
      <c r="Y19" s="166"/>
      <c r="Z19" s="166"/>
      <c r="AA19" s="93"/>
    </row>
    <row r="20" spans="1:27" x14ac:dyDescent="0.25">
      <c r="A20" s="43"/>
      <c r="B20" s="167" t="s">
        <v>72</v>
      </c>
      <c r="C20" s="168"/>
      <c r="D20" s="169"/>
      <c r="E20" s="170" t="s">
        <v>37</v>
      </c>
      <c r="F20" s="98"/>
      <c r="H20" s="43"/>
      <c r="I20" s="167" t="s">
        <v>75</v>
      </c>
      <c r="J20" s="168"/>
      <c r="K20" s="169"/>
      <c r="L20" s="170" t="s">
        <v>37</v>
      </c>
      <c r="M20" s="98"/>
      <c r="O20" s="43"/>
      <c r="P20" s="167" t="s">
        <v>77</v>
      </c>
      <c r="Q20" s="168"/>
      <c r="R20" s="169"/>
      <c r="S20" s="170" t="s">
        <v>37</v>
      </c>
      <c r="T20" s="98"/>
      <c r="V20" s="43"/>
      <c r="W20" s="94" t="s">
        <v>80</v>
      </c>
      <c r="X20" s="95"/>
      <c r="Y20" s="96"/>
      <c r="Z20" s="170" t="s">
        <v>37</v>
      </c>
      <c r="AA20" s="98"/>
    </row>
    <row r="21" spans="1:27" ht="30" customHeight="1" x14ac:dyDescent="0.25">
      <c r="A21" s="92"/>
      <c r="B21" s="97" t="s">
        <v>70</v>
      </c>
      <c r="C21" s="97" t="s">
        <v>86</v>
      </c>
      <c r="D21" s="97" t="s">
        <v>90</v>
      </c>
      <c r="E21" s="171"/>
      <c r="F21" s="99" t="s">
        <v>81</v>
      </c>
      <c r="H21" s="92"/>
      <c r="I21" s="97" t="s">
        <v>70</v>
      </c>
      <c r="J21" s="97" t="s">
        <v>86</v>
      </c>
      <c r="K21" s="97" t="s">
        <v>90</v>
      </c>
      <c r="L21" s="176"/>
      <c r="M21" s="99" t="s">
        <v>81</v>
      </c>
      <c r="O21" s="92"/>
      <c r="P21" s="97" t="s">
        <v>70</v>
      </c>
      <c r="Q21" s="97" t="s">
        <v>86</v>
      </c>
      <c r="R21" s="97" t="s">
        <v>90</v>
      </c>
      <c r="S21" s="171"/>
      <c r="T21" s="99" t="s">
        <v>81</v>
      </c>
      <c r="V21" s="92"/>
      <c r="W21" s="97" t="s">
        <v>70</v>
      </c>
      <c r="X21" s="97" t="s">
        <v>86</v>
      </c>
      <c r="Y21" s="97" t="s">
        <v>90</v>
      </c>
      <c r="Z21" s="171"/>
      <c r="AA21" s="99" t="s">
        <v>81</v>
      </c>
    </row>
    <row r="22" spans="1:27" ht="15" customHeight="1" x14ac:dyDescent="0.25">
      <c r="A22" s="38" t="s">
        <v>14</v>
      </c>
      <c r="B22" s="130">
        <v>9995.73</v>
      </c>
      <c r="C22" s="129">
        <v>2947.91</v>
      </c>
      <c r="D22" s="130">
        <v>2700.9</v>
      </c>
      <c r="E22" s="146">
        <f>SUM(B22:D22)</f>
        <v>15644.539999999999</v>
      </c>
      <c r="F22" s="100" t="e">
        <f>#REF!-#REF!</f>
        <v>#REF!</v>
      </c>
      <c r="H22" s="38" t="s">
        <v>14</v>
      </c>
      <c r="I22" s="78">
        <v>11664.61</v>
      </c>
      <c r="J22" s="78">
        <v>4414.8500000000004</v>
      </c>
      <c r="K22" s="78">
        <v>4034.19</v>
      </c>
      <c r="L22" s="117">
        <f>SUM(I22:K22)</f>
        <v>20113.650000000001</v>
      </c>
      <c r="M22" s="100" t="e">
        <f>#REF!-#REF!</f>
        <v>#REF!</v>
      </c>
      <c r="O22" s="38" t="s">
        <v>14</v>
      </c>
      <c r="P22" s="161">
        <v>13053.63</v>
      </c>
      <c r="Q22" s="133">
        <v>5175.8500000000004</v>
      </c>
      <c r="R22" s="133">
        <v>4138.72</v>
      </c>
      <c r="S22" s="106">
        <f>SUM(P22:R22)</f>
        <v>22368.2</v>
      </c>
      <c r="T22" s="100" t="e">
        <f>#REF!-#REF!</f>
        <v>#REF!</v>
      </c>
      <c r="V22" s="38" t="s">
        <v>14</v>
      </c>
      <c r="W22" s="78"/>
      <c r="X22" s="78"/>
      <c r="Y22" s="78"/>
      <c r="Z22" s="106">
        <f>SUM(W22:Y22)</f>
        <v>0</v>
      </c>
      <c r="AA22" s="100" t="e">
        <f>#REF!-Z22</f>
        <v>#REF!</v>
      </c>
    </row>
    <row r="23" spans="1:27" x14ac:dyDescent="0.25">
      <c r="A23" s="38" t="s">
        <v>12</v>
      </c>
      <c r="B23" s="130">
        <v>10678.04</v>
      </c>
      <c r="C23" s="130">
        <v>3630.48</v>
      </c>
      <c r="D23" s="130">
        <v>3078.21</v>
      </c>
      <c r="E23" s="109">
        <f>SUM(B23:D23)</f>
        <v>17386.73</v>
      </c>
      <c r="F23" s="100" t="e">
        <f>#REF!-#REF!</f>
        <v>#REF!</v>
      </c>
      <c r="G23" s="11"/>
      <c r="H23" s="38" t="s">
        <v>12</v>
      </c>
      <c r="I23" s="78">
        <v>11087.34</v>
      </c>
      <c r="J23" s="122">
        <v>4531.72</v>
      </c>
      <c r="K23" s="78">
        <v>3793.66</v>
      </c>
      <c r="L23" s="106">
        <f>SUM(I23:K23)</f>
        <v>19412.72</v>
      </c>
      <c r="M23" s="100" t="e">
        <f>#REF!-#REF!</f>
        <v>#REF!</v>
      </c>
      <c r="O23" s="38" t="s">
        <v>12</v>
      </c>
      <c r="P23" s="161">
        <v>12378.28</v>
      </c>
      <c r="Q23" s="132">
        <v>4777.45</v>
      </c>
      <c r="R23" s="133">
        <v>4019.23</v>
      </c>
      <c r="S23" s="106">
        <f>SUM(P23:R23)</f>
        <v>21174.959999999999</v>
      </c>
      <c r="T23" s="100" t="e">
        <f>#REF!-#REF!</f>
        <v>#REF!</v>
      </c>
      <c r="V23" s="38" t="s">
        <v>12</v>
      </c>
      <c r="W23" s="78"/>
      <c r="X23" s="78"/>
      <c r="Y23" s="78"/>
      <c r="Z23" s="106">
        <f>SUM(W23:Y23)</f>
        <v>0</v>
      </c>
      <c r="AA23" s="100" t="e">
        <f>#REF!-Z23</f>
        <v>#REF!</v>
      </c>
    </row>
    <row r="24" spans="1:27" x14ac:dyDescent="0.25">
      <c r="A24" s="38" t="s">
        <v>46</v>
      </c>
      <c r="B24" s="130">
        <v>28657.61</v>
      </c>
      <c r="C24" s="130">
        <v>9690.75</v>
      </c>
      <c r="D24" s="130">
        <v>7962.05</v>
      </c>
      <c r="E24" s="109">
        <f>SUM(B24:D24)</f>
        <v>46310.41</v>
      </c>
      <c r="F24" s="100" t="e">
        <f>#REF!-#REF!</f>
        <v>#REF!</v>
      </c>
      <c r="H24" s="38" t="s">
        <v>46</v>
      </c>
      <c r="I24" s="78">
        <v>30849.45</v>
      </c>
      <c r="J24" s="78">
        <v>12261.56</v>
      </c>
      <c r="K24" s="78">
        <v>10243.61</v>
      </c>
      <c r="L24" s="106">
        <f>SUM(I24:K24)</f>
        <v>53354.62</v>
      </c>
      <c r="M24" s="100" t="e">
        <f>#REF!-#REF!</f>
        <v>#REF!</v>
      </c>
      <c r="O24" s="38" t="s">
        <v>46</v>
      </c>
      <c r="P24" s="161">
        <v>39044.160000000003</v>
      </c>
      <c r="Q24" s="133">
        <v>16062.86</v>
      </c>
      <c r="R24" s="133">
        <v>12860.06</v>
      </c>
      <c r="S24" s="106">
        <f>SUM(P24:R24)</f>
        <v>67967.08</v>
      </c>
      <c r="T24" s="100" t="e">
        <f>#REF!-Z24</f>
        <v>#REF!</v>
      </c>
      <c r="V24" s="38" t="s">
        <v>46</v>
      </c>
      <c r="W24" s="78"/>
      <c r="X24" s="78"/>
      <c r="Y24" s="78"/>
      <c r="Z24" s="106">
        <f>SUM(W24:Y24)</f>
        <v>0</v>
      </c>
      <c r="AA24" s="100" t="e">
        <f>#REF!-#REF!</f>
        <v>#REF!</v>
      </c>
    </row>
    <row r="25" spans="1:27" ht="15.75" x14ac:dyDescent="0.25">
      <c r="A25" s="44" t="s">
        <v>37</v>
      </c>
      <c r="B25" s="110">
        <f>SUM(B22:B24)</f>
        <v>49331.380000000005</v>
      </c>
      <c r="C25" s="110">
        <f>SUM(C22:C24)</f>
        <v>16269.14</v>
      </c>
      <c r="D25" s="110">
        <f>SUM(D22:D24)</f>
        <v>13741.16</v>
      </c>
      <c r="E25" s="120">
        <f>SUM(B25:D25)</f>
        <v>79341.680000000008</v>
      </c>
      <c r="F25" s="111" t="e">
        <f>SUM(F22:F24)</f>
        <v>#REF!</v>
      </c>
      <c r="G25" s="24"/>
      <c r="H25" s="44" t="s">
        <v>37</v>
      </c>
      <c r="I25" s="91">
        <f>SUM(I22:I24)</f>
        <v>53601.4</v>
      </c>
      <c r="J25" s="91">
        <f>SUM(J22:J24)</f>
        <v>21208.129999999997</v>
      </c>
      <c r="K25" s="91">
        <f>SUM(K22:K24)</f>
        <v>18071.46</v>
      </c>
      <c r="L25" s="107">
        <f>SUM(I25:K25)</f>
        <v>92880.989999999991</v>
      </c>
      <c r="M25" s="111" t="e">
        <f>SUM(M22:M24)</f>
        <v>#REF!</v>
      </c>
      <c r="O25" s="44" t="s">
        <v>37</v>
      </c>
      <c r="P25" s="91">
        <f>SUM(P22:P24)</f>
        <v>64476.070000000007</v>
      </c>
      <c r="Q25" s="91">
        <f>SUM(Q22:Q24)</f>
        <v>26016.16</v>
      </c>
      <c r="R25" s="91">
        <f>SUM(R22:R24)</f>
        <v>21018.010000000002</v>
      </c>
      <c r="S25" s="107">
        <f>SUM(P25:R25)</f>
        <v>111510.24000000002</v>
      </c>
      <c r="T25" s="111" t="e">
        <f>SUM(T22:T24)</f>
        <v>#REF!</v>
      </c>
      <c r="V25" s="44" t="s">
        <v>37</v>
      </c>
      <c r="W25" s="91">
        <f>SUM(W22:W24)</f>
        <v>0</v>
      </c>
      <c r="X25" s="91">
        <f>SUM(X22:X24)</f>
        <v>0</v>
      </c>
      <c r="Y25" s="91">
        <f>SUM(Y22:Y24)</f>
        <v>0</v>
      </c>
      <c r="Z25" s="107">
        <f>SUM(W25:Y25)</f>
        <v>0</v>
      </c>
      <c r="AA25" s="111" t="e">
        <f>SUM(AA22:AA24)</f>
        <v>#REF!</v>
      </c>
    </row>
    <row r="26" spans="1:27" x14ac:dyDescent="0.25">
      <c r="A26" s="62" t="s">
        <v>82</v>
      </c>
      <c r="B26" s="172"/>
      <c r="C26" s="172"/>
      <c r="D26" s="172"/>
      <c r="E26" s="172"/>
      <c r="F26" s="172"/>
      <c r="G26" s="172"/>
    </row>
    <row r="28" spans="1:27" ht="15.75" x14ac:dyDescent="0.25">
      <c r="A28" s="173" t="s">
        <v>20</v>
      </c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5"/>
      <c r="N28" s="112"/>
      <c r="O28" s="82"/>
      <c r="P28" s="82"/>
    </row>
    <row r="29" spans="1:27" ht="15.75" x14ac:dyDescent="0.25">
      <c r="A29" s="28"/>
      <c r="B29" s="29" t="s">
        <v>1</v>
      </c>
      <c r="C29" s="30" t="s">
        <v>2</v>
      </c>
      <c r="D29" s="30" t="s">
        <v>3</v>
      </c>
      <c r="E29" s="30" t="s">
        <v>4</v>
      </c>
      <c r="F29" s="30" t="s">
        <v>5</v>
      </c>
      <c r="G29" s="30" t="s">
        <v>6</v>
      </c>
      <c r="H29" s="30" t="s">
        <v>84</v>
      </c>
      <c r="I29" s="30" t="s">
        <v>7</v>
      </c>
      <c r="J29" s="30" t="s">
        <v>8</v>
      </c>
      <c r="K29" s="30" t="s">
        <v>9</v>
      </c>
      <c r="L29" s="30" t="s">
        <v>10</v>
      </c>
      <c r="M29" s="30" t="s">
        <v>11</v>
      </c>
      <c r="N29" s="30" t="s">
        <v>37</v>
      </c>
      <c r="O29" s="30" t="s">
        <v>0</v>
      </c>
      <c r="P29" s="31"/>
    </row>
    <row r="30" spans="1:27" ht="15.75" x14ac:dyDescent="0.25">
      <c r="A30" s="32" t="s">
        <v>12</v>
      </c>
      <c r="B30" s="126">
        <f>E5</f>
        <v>15609.740000000002</v>
      </c>
      <c r="C30" s="126">
        <f>E14</f>
        <v>17577.509999999998</v>
      </c>
      <c r="D30" s="125">
        <f>E23</f>
        <v>17386.73</v>
      </c>
      <c r="E30" s="126">
        <f>L5</f>
        <v>34424.17</v>
      </c>
      <c r="F30" s="126">
        <f>L14</f>
        <v>19074.54</v>
      </c>
      <c r="G30" s="125">
        <f>L23</f>
        <v>19412.72</v>
      </c>
      <c r="H30" s="125">
        <f>S5</f>
        <v>20116.919999999998</v>
      </c>
      <c r="I30" s="125">
        <f>S14</f>
        <v>19874.38</v>
      </c>
      <c r="J30" s="125">
        <f>S23</f>
        <v>21174.959999999999</v>
      </c>
      <c r="K30" s="126">
        <f>Z5</f>
        <v>0</v>
      </c>
      <c r="L30" s="125">
        <f>Z14</f>
        <v>0</v>
      </c>
      <c r="M30" s="126">
        <f>Z23</f>
        <v>0</v>
      </c>
      <c r="N30" s="126">
        <f>SUM(B30:M30)</f>
        <v>184651.67</v>
      </c>
      <c r="O30" s="126">
        <f>AVERAGE(B30:M30)</f>
        <v>15387.639166666668</v>
      </c>
      <c r="P30" s="33"/>
      <c r="Q30" s="27"/>
    </row>
    <row r="31" spans="1:27" ht="15.75" x14ac:dyDescent="0.25">
      <c r="A31" s="32" t="s">
        <v>13</v>
      </c>
      <c r="B31" s="126">
        <f>E6</f>
        <v>40865.1</v>
      </c>
      <c r="C31" s="126">
        <f>E15</f>
        <v>37069.600000000006</v>
      </c>
      <c r="D31" s="125">
        <f>E24</f>
        <v>46310.41</v>
      </c>
      <c r="E31" s="126">
        <f>L6</f>
        <v>22947.72</v>
      </c>
      <c r="F31" s="126">
        <f>L15</f>
        <v>49071.66</v>
      </c>
      <c r="G31" s="125">
        <f>L24</f>
        <v>53354.62</v>
      </c>
      <c r="H31" s="125">
        <f>S6</f>
        <v>55095.28</v>
      </c>
      <c r="I31" s="125">
        <f>S15</f>
        <v>48829.48</v>
      </c>
      <c r="J31" s="126">
        <f>S24</f>
        <v>67967.08</v>
      </c>
      <c r="K31" s="126">
        <f>Z6</f>
        <v>0</v>
      </c>
      <c r="L31" s="125">
        <f>Z15</f>
        <v>0</v>
      </c>
      <c r="M31" s="126">
        <f>Z24</f>
        <v>0</v>
      </c>
      <c r="N31" s="126">
        <f>SUM(B31:M31)</f>
        <v>421510.95</v>
      </c>
      <c r="O31" s="126">
        <f>AVERAGE(B31:M31)</f>
        <v>35125.912499999999</v>
      </c>
      <c r="P31" s="33"/>
      <c r="Q31" s="27"/>
    </row>
    <row r="32" spans="1:27" ht="15.75" x14ac:dyDescent="0.25">
      <c r="A32" s="32" t="s">
        <v>14</v>
      </c>
      <c r="B32" s="126">
        <f>E4</f>
        <v>15740.590000000002</v>
      </c>
      <c r="C32" s="126">
        <f>E13</f>
        <v>16249.75</v>
      </c>
      <c r="D32" s="125">
        <f>E22</f>
        <v>15644.539999999999</v>
      </c>
      <c r="E32" s="126">
        <f>L4</f>
        <v>11907.539999999999</v>
      </c>
      <c r="F32" s="126">
        <f>L13</f>
        <v>18886.989999999998</v>
      </c>
      <c r="G32" s="125">
        <f>L22</f>
        <v>20113.650000000001</v>
      </c>
      <c r="H32" s="125">
        <f>S4</f>
        <v>21986.71</v>
      </c>
      <c r="I32" s="127">
        <f>S13</f>
        <v>22320.36</v>
      </c>
      <c r="J32" s="128">
        <f>S22</f>
        <v>22368.2</v>
      </c>
      <c r="K32" s="126">
        <f>Z4</f>
        <v>0</v>
      </c>
      <c r="L32" s="125">
        <f>Z13</f>
        <v>0</v>
      </c>
      <c r="M32" s="126">
        <f>Z22</f>
        <v>0</v>
      </c>
      <c r="N32" s="126">
        <f>SUM(B32:M32)</f>
        <v>165218.33000000002</v>
      </c>
      <c r="O32" s="126">
        <f>AVERAGE(B32:M32)</f>
        <v>13768.194166666668</v>
      </c>
      <c r="P32" s="33"/>
      <c r="Q32" s="27"/>
    </row>
    <row r="33" spans="1:31" ht="15.75" x14ac:dyDescent="0.25">
      <c r="A33" s="4" t="s">
        <v>19</v>
      </c>
      <c r="B33" s="34">
        <f t="shared" ref="B33:M33" si="0">SUM(B30:B32)</f>
        <v>72215.429999999993</v>
      </c>
      <c r="C33" s="34">
        <f>SUM(C30:C32)</f>
        <v>70896.86</v>
      </c>
      <c r="D33" s="34">
        <f t="shared" si="0"/>
        <v>79341.679999999993</v>
      </c>
      <c r="E33" s="34">
        <f t="shared" si="0"/>
        <v>69279.429999999993</v>
      </c>
      <c r="F33" s="34">
        <f t="shared" si="0"/>
        <v>87033.19</v>
      </c>
      <c r="G33" s="34">
        <f t="shared" si="0"/>
        <v>92880.989999999991</v>
      </c>
      <c r="H33" s="34">
        <f t="shared" si="0"/>
        <v>97198.91</v>
      </c>
      <c r="I33" s="34">
        <f t="shared" si="0"/>
        <v>91024.22</v>
      </c>
      <c r="J33" s="34">
        <f t="shared" si="0"/>
        <v>111510.24</v>
      </c>
      <c r="K33" s="34">
        <f t="shared" si="0"/>
        <v>0</v>
      </c>
      <c r="L33" s="34">
        <f t="shared" si="0"/>
        <v>0</v>
      </c>
      <c r="M33" s="34">
        <f t="shared" si="0"/>
        <v>0</v>
      </c>
      <c r="N33" s="118">
        <f>SUM(B33:M33)</f>
        <v>771380.95</v>
      </c>
      <c r="O33" s="34">
        <f>SUM(O30:O32)</f>
        <v>64281.745833333334</v>
      </c>
      <c r="P33" s="35"/>
      <c r="Q33" s="68"/>
    </row>
    <row r="34" spans="1:31" s="105" customFormat="1" ht="18.75" x14ac:dyDescent="0.3">
      <c r="A34" s="102" t="s">
        <v>81</v>
      </c>
      <c r="B34" s="103" t="e">
        <f>F7</f>
        <v>#REF!</v>
      </c>
      <c r="C34" s="103" t="e">
        <f>F16</f>
        <v>#REF!</v>
      </c>
      <c r="D34" s="103" t="e">
        <f>F25</f>
        <v>#REF!</v>
      </c>
      <c r="E34" s="103" t="e">
        <f>M7</f>
        <v>#REF!</v>
      </c>
      <c r="F34" s="103" t="e">
        <f>M16</f>
        <v>#REF!</v>
      </c>
      <c r="G34" s="103" t="e">
        <f>M25</f>
        <v>#REF!</v>
      </c>
      <c r="H34" s="103" t="e">
        <f>T7</f>
        <v>#REF!</v>
      </c>
      <c r="I34" s="103" t="e">
        <f>T16</f>
        <v>#REF!</v>
      </c>
      <c r="J34" s="103" t="e">
        <f>T25</f>
        <v>#REF!</v>
      </c>
      <c r="K34" s="103">
        <f>Z7</f>
        <v>0</v>
      </c>
      <c r="L34" s="103">
        <f>Z16</f>
        <v>0</v>
      </c>
      <c r="M34" s="103" t="e">
        <f>AA25</f>
        <v>#REF!</v>
      </c>
      <c r="N34" s="103" t="e">
        <f>SUM(B34:M34)</f>
        <v>#REF!</v>
      </c>
      <c r="O34" s="103" t="e">
        <f>N34/8</f>
        <v>#REF!</v>
      </c>
      <c r="P34" s="104"/>
      <c r="AC34"/>
      <c r="AD34"/>
      <c r="AE34"/>
    </row>
    <row r="36" spans="1:31" s="123" customFormat="1" ht="15.75" x14ac:dyDescent="0.25">
      <c r="A36" s="124" t="s">
        <v>85</v>
      </c>
      <c r="B36" s="124" t="s">
        <v>1</v>
      </c>
      <c r="C36" s="124" t="s">
        <v>2</v>
      </c>
      <c r="D36" s="124" t="s">
        <v>3</v>
      </c>
      <c r="E36" s="124" t="s">
        <v>4</v>
      </c>
      <c r="F36" s="124" t="s">
        <v>5</v>
      </c>
      <c r="G36" s="124" t="s">
        <v>6</v>
      </c>
      <c r="H36" s="124" t="s">
        <v>84</v>
      </c>
      <c r="I36" s="124" t="s">
        <v>7</v>
      </c>
      <c r="J36" s="124" t="s">
        <v>8</v>
      </c>
      <c r="K36" s="124" t="s">
        <v>9</v>
      </c>
      <c r="L36" s="124" t="s">
        <v>10</v>
      </c>
      <c r="M36" s="124" t="s">
        <v>11</v>
      </c>
      <c r="N36" s="124" t="s">
        <v>37</v>
      </c>
      <c r="O36" s="124" t="s">
        <v>0</v>
      </c>
    </row>
    <row r="37" spans="1:31" s="123" customFormat="1" ht="15.75" x14ac:dyDescent="0.25">
      <c r="A37" s="124">
        <v>2025</v>
      </c>
      <c r="B37" s="137">
        <f>E7</f>
        <v>72215.429999999993</v>
      </c>
      <c r="C37" s="137">
        <f>E16</f>
        <v>79235.16</v>
      </c>
      <c r="D37" s="137">
        <f>E25</f>
        <v>79341.680000000008</v>
      </c>
      <c r="E37" s="137">
        <f>L7</f>
        <v>69279.429999999993</v>
      </c>
      <c r="F37" s="137">
        <f>L16</f>
        <v>76126.67</v>
      </c>
      <c r="G37" s="137">
        <f>L25</f>
        <v>92880.989999999991</v>
      </c>
      <c r="H37" s="137">
        <f>S7</f>
        <v>97198.91</v>
      </c>
      <c r="I37" s="137">
        <f>S16</f>
        <v>91024.22</v>
      </c>
      <c r="J37" s="137">
        <f>S25</f>
        <v>111510.24000000002</v>
      </c>
      <c r="K37" s="137">
        <f>Z7</f>
        <v>0</v>
      </c>
      <c r="L37" s="137">
        <f>Z16</f>
        <v>0</v>
      </c>
      <c r="M37" s="137">
        <f>Z25</f>
        <v>0</v>
      </c>
      <c r="N37" s="119">
        <f t="shared" ref="B37:N38" si="1">N32</f>
        <v>165218.33000000002</v>
      </c>
      <c r="O37" s="119">
        <f>N37/12</f>
        <v>13768.194166666668</v>
      </c>
    </row>
    <row r="38" spans="1:31" ht="15.75" x14ac:dyDescent="0.25">
      <c r="A38" s="2">
        <v>2024</v>
      </c>
      <c r="B38" s="116">
        <f t="shared" si="1"/>
        <v>72215.429999999993</v>
      </c>
      <c r="C38" s="116">
        <f t="shared" si="1"/>
        <v>70896.86</v>
      </c>
      <c r="D38" s="116">
        <f t="shared" si="1"/>
        <v>79341.679999999993</v>
      </c>
      <c r="E38" s="116">
        <f t="shared" si="1"/>
        <v>69279.429999999993</v>
      </c>
      <c r="F38" s="116">
        <f t="shared" si="1"/>
        <v>87033.19</v>
      </c>
      <c r="G38" s="116">
        <f t="shared" si="1"/>
        <v>92880.989999999991</v>
      </c>
      <c r="H38" s="116">
        <f t="shared" si="1"/>
        <v>97198.91</v>
      </c>
      <c r="I38" s="116">
        <f t="shared" si="1"/>
        <v>91024.22</v>
      </c>
      <c r="J38" s="116">
        <f t="shared" si="1"/>
        <v>111510.24</v>
      </c>
      <c r="K38" s="116">
        <f t="shared" si="1"/>
        <v>0</v>
      </c>
      <c r="L38" s="116">
        <f t="shared" si="1"/>
        <v>0</v>
      </c>
      <c r="M38" s="116">
        <f t="shared" si="1"/>
        <v>0</v>
      </c>
      <c r="N38" s="119">
        <f t="shared" si="1"/>
        <v>771380.95</v>
      </c>
      <c r="O38" s="119">
        <f>N38/12</f>
        <v>64281.745833333327</v>
      </c>
    </row>
    <row r="39" spans="1:31" ht="15.75" x14ac:dyDescent="0.25">
      <c r="A39" s="2">
        <v>2023</v>
      </c>
      <c r="B39" s="116">
        <f>'[1]ENERGIA 2023 - LIVRE'!$B$37</f>
        <v>62597.68</v>
      </c>
      <c r="C39" s="116">
        <f>'[1]ENERGIA 2023 - LIVRE'!$C$37</f>
        <v>62244.930000000008</v>
      </c>
      <c r="D39" s="116">
        <f>'[1]ENERGIA 2023 - LIVRE'!$D$37</f>
        <v>46282.960000000006</v>
      </c>
      <c r="E39" s="116">
        <f>'[1]ENERGIA 2023 - LIVRE'!$E$37</f>
        <v>54003.360000000001</v>
      </c>
      <c r="F39" s="116">
        <f>'[1]ENERGIA 2023 - LIVRE'!$F$37</f>
        <v>53845.799999999996</v>
      </c>
      <c r="G39" s="116">
        <f>'[1]ENERGIA 2023 - LIVRE'!$G$37</f>
        <v>65134.19</v>
      </c>
      <c r="H39" s="116">
        <f>'[1]ENERGIA 2023 - LIVRE'!$H$37</f>
        <v>65293.94</v>
      </c>
      <c r="I39" s="116">
        <f>'[1]ENERGIA 2023 - LIVRE'!$I$37</f>
        <v>64927.98</v>
      </c>
      <c r="J39" s="116">
        <f>'[1]ENERGIA 2023 - LIVRE'!$J$37</f>
        <v>74762.17</v>
      </c>
      <c r="K39" s="116">
        <f>'[1]ENERGIA 2023 - LIVRE'!$K$37</f>
        <v>71904.87</v>
      </c>
      <c r="L39" s="116">
        <f>'[1]ENERGIA 2023 - LIVRE'!$L$37</f>
        <v>73080.079999999987</v>
      </c>
      <c r="M39" s="116">
        <f>'[1]ENERGIA 2023 - LIVRE'!$M$37</f>
        <v>66751.19</v>
      </c>
      <c r="N39" s="119">
        <f>SUM(B39:M39)</f>
        <v>760829.14999999991</v>
      </c>
      <c r="O39" s="119">
        <f>N39/12</f>
        <v>63402.429166666661</v>
      </c>
    </row>
    <row r="40" spans="1:31" ht="15.75" x14ac:dyDescent="0.25">
      <c r="A40" s="2">
        <v>2022</v>
      </c>
      <c r="B40" s="115">
        <v>84625.79</v>
      </c>
      <c r="C40" s="115">
        <v>95776.52</v>
      </c>
      <c r="D40" s="115">
        <v>98234.23</v>
      </c>
      <c r="E40" s="115">
        <v>82765.8</v>
      </c>
      <c r="F40" s="115">
        <v>67715.899999999994</v>
      </c>
      <c r="G40" s="115">
        <v>73467.53</v>
      </c>
      <c r="H40" s="115">
        <v>71232.929999999993</v>
      </c>
      <c r="I40" s="115">
        <v>78602.33</v>
      </c>
      <c r="J40" s="115">
        <v>74305.13</v>
      </c>
      <c r="K40" s="115">
        <v>83561.7</v>
      </c>
      <c r="L40" s="115">
        <v>68892.09</v>
      </c>
      <c r="M40" s="115">
        <v>24875.48</v>
      </c>
      <c r="N40" s="119">
        <f>SUM(A40:M40)</f>
        <v>906077.42999999982</v>
      </c>
      <c r="O40" s="119">
        <f>N40/12</f>
        <v>75506.452499999985</v>
      </c>
    </row>
    <row r="41" spans="1:31" x14ac:dyDescent="0.25">
      <c r="A41" s="121" t="s">
        <v>87</v>
      </c>
      <c r="B41" s="69">
        <f>B39-B38</f>
        <v>-9617.7499999999927</v>
      </c>
      <c r="C41" s="84">
        <f>C39-C38</f>
        <v>-8651.929999999993</v>
      </c>
      <c r="D41" s="84">
        <f t="shared" ref="D41:N41" si="2">D39-D38</f>
        <v>-33058.719999999987</v>
      </c>
      <c r="E41" s="84">
        <f t="shared" si="2"/>
        <v>-15276.069999999992</v>
      </c>
      <c r="F41" s="84">
        <f t="shared" si="2"/>
        <v>-33187.390000000007</v>
      </c>
      <c r="G41" s="84">
        <f t="shared" si="2"/>
        <v>-27746.799999999988</v>
      </c>
      <c r="H41" s="84">
        <f t="shared" si="2"/>
        <v>-31904.97</v>
      </c>
      <c r="I41" s="84">
        <f t="shared" si="2"/>
        <v>-26096.239999999998</v>
      </c>
      <c r="J41" s="84">
        <f t="shared" si="2"/>
        <v>-36748.070000000007</v>
      </c>
      <c r="K41" s="84">
        <f t="shared" si="2"/>
        <v>71904.87</v>
      </c>
      <c r="L41" s="84">
        <f t="shared" si="2"/>
        <v>73080.079999999987</v>
      </c>
      <c r="M41" s="84">
        <f t="shared" si="2"/>
        <v>66751.19</v>
      </c>
      <c r="N41" s="84">
        <f t="shared" si="2"/>
        <v>-10551.800000000047</v>
      </c>
      <c r="O41" s="84"/>
    </row>
    <row r="42" spans="1:31" x14ac:dyDescent="0.25">
      <c r="A42" s="39"/>
    </row>
    <row r="46" spans="1:31" x14ac:dyDescent="0.25">
      <c r="D46" t="s">
        <v>98</v>
      </c>
      <c r="E46" t="s">
        <v>99</v>
      </c>
      <c r="F46" t="s">
        <v>100</v>
      </c>
    </row>
    <row r="47" spans="1:31" x14ac:dyDescent="0.25">
      <c r="D47" s="24">
        <f>SUM(B7,B16,B25,I7,I16,I25,P7,P16,P25,W7,W16)</f>
        <v>452794.57000000007</v>
      </c>
      <c r="E47" s="24">
        <f>SUM(C7,C16,C25,J7,J16,J25,Q7,Q16,Q25,X7)</f>
        <v>182934.54000000004</v>
      </c>
      <c r="F47" s="24">
        <f>SUM(D7,D16,D25,K7,K16,K25,R7,R16,R25,Y7,Y16)</f>
        <v>133083.62000000002</v>
      </c>
    </row>
    <row r="48" spans="1:31" x14ac:dyDescent="0.25">
      <c r="D48" s="24">
        <f>SUM(B7,B16,B25,I7,I16,I25,P7,P16,P25,W7,W16)</f>
        <v>452794.57000000007</v>
      </c>
      <c r="E48" s="24">
        <f>SUM(C7,C16,C25,J7,J16,J25,Q7,Q16,Q25,X7)</f>
        <v>182934.54000000004</v>
      </c>
      <c r="F48" s="24">
        <f>SUM(D7,D16,D25,K7,K16,K25,R7,R16,R25,Y7,Y16)</f>
        <v>133083.62000000002</v>
      </c>
    </row>
  </sheetData>
  <mergeCells count="37">
    <mergeCell ref="A28:M28"/>
    <mergeCell ref="A10:E10"/>
    <mergeCell ref="B11:D11"/>
    <mergeCell ref="A19:E19"/>
    <mergeCell ref="B20:D20"/>
    <mergeCell ref="I11:K11"/>
    <mergeCell ref="H19:L19"/>
    <mergeCell ref="I20:K20"/>
    <mergeCell ref="E11:E12"/>
    <mergeCell ref="E20:E21"/>
    <mergeCell ref="B26:G26"/>
    <mergeCell ref="L11:L12"/>
    <mergeCell ref="L20:L21"/>
    <mergeCell ref="V1:Z1"/>
    <mergeCell ref="W2:Y2"/>
    <mergeCell ref="V10:Z10"/>
    <mergeCell ref="W11:Y11"/>
    <mergeCell ref="O1:S1"/>
    <mergeCell ref="P2:R2"/>
    <mergeCell ref="A1:E1"/>
    <mergeCell ref="B2:D2"/>
    <mergeCell ref="H1:L1"/>
    <mergeCell ref="I2:K2"/>
    <mergeCell ref="H10:L10"/>
    <mergeCell ref="E2:E3"/>
    <mergeCell ref="L2:L3"/>
    <mergeCell ref="S20:S21"/>
    <mergeCell ref="Z2:Z3"/>
    <mergeCell ref="Z11:Z12"/>
    <mergeCell ref="O10:S10"/>
    <mergeCell ref="P11:R11"/>
    <mergeCell ref="O19:S19"/>
    <mergeCell ref="S2:S3"/>
    <mergeCell ref="S11:S12"/>
    <mergeCell ref="Z20:Z21"/>
    <mergeCell ref="V19:Z19"/>
    <mergeCell ref="P20:R20"/>
  </mergeCells>
  <pageMargins left="0.511811024" right="0.511811024" top="0.78740157499999996" bottom="0.78740157499999996" header="0.31496062000000002" footer="0.31496062000000002"/>
  <pageSetup paperSize="9" scale="77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5" zoomScale="90" zoomScaleNormal="90" workbookViewId="0">
      <selection activeCell="P54" sqref="P5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5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E52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22"/>
  <sheetViews>
    <sheetView topLeftCell="C1" zoomScaleNormal="100" workbookViewId="0">
      <selection activeCell="F10" sqref="F10"/>
    </sheetView>
  </sheetViews>
  <sheetFormatPr defaultRowHeight="15" x14ac:dyDescent="0.25"/>
  <cols>
    <col min="1" max="1" width="28" bestFit="1" customWidth="1"/>
    <col min="2" max="2" width="27.28515625" bestFit="1" customWidth="1"/>
    <col min="3" max="3" width="30.7109375" customWidth="1"/>
    <col min="4" max="4" width="13.42578125" bestFit="1" customWidth="1"/>
    <col min="5" max="6" width="19.5703125" bestFit="1" customWidth="1"/>
    <col min="7" max="7" width="15.28515625" customWidth="1"/>
    <col min="8" max="8" width="12.7109375" bestFit="1" customWidth="1"/>
    <col min="9" max="9" width="14.28515625" customWidth="1"/>
    <col min="10" max="10" width="15.7109375" customWidth="1"/>
    <col min="11" max="11" width="15.5703125" customWidth="1"/>
    <col min="12" max="12" width="14.85546875" customWidth="1"/>
    <col min="13" max="13" width="14.5703125" customWidth="1"/>
    <col min="14" max="14" width="17.28515625" customWidth="1"/>
    <col min="15" max="15" width="11.7109375" bestFit="1" customWidth="1"/>
    <col min="16" max="16" width="14.85546875" bestFit="1" customWidth="1"/>
    <col min="17" max="17" width="13.42578125" bestFit="1" customWidth="1"/>
  </cols>
  <sheetData>
    <row r="1" spans="1:17" ht="18.75" x14ac:dyDescent="0.3">
      <c r="B1" s="184" t="s">
        <v>28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spans="1:17" x14ac:dyDescent="0.25">
      <c r="A2" s="9" t="s">
        <v>22</v>
      </c>
      <c r="B2" s="9" t="s">
        <v>23</v>
      </c>
      <c r="C2" s="9" t="s">
        <v>24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15</v>
      </c>
      <c r="K2" s="6" t="s">
        <v>16</v>
      </c>
      <c r="L2" s="6" t="s">
        <v>8</v>
      </c>
      <c r="M2" s="6" t="s">
        <v>17</v>
      </c>
      <c r="N2" s="6" t="s">
        <v>18</v>
      </c>
      <c r="O2" s="6" t="s">
        <v>11</v>
      </c>
      <c r="P2" s="7" t="s">
        <v>21</v>
      </c>
      <c r="Q2" s="36" t="s">
        <v>0</v>
      </c>
    </row>
    <row r="3" spans="1:17" x14ac:dyDescent="0.25">
      <c r="A3" s="17" t="s">
        <v>30</v>
      </c>
      <c r="B3" s="1" t="s">
        <v>13</v>
      </c>
      <c r="C3" s="1" t="s">
        <v>25</v>
      </c>
      <c r="D3" s="12">
        <v>276</v>
      </c>
      <c r="E3" s="22"/>
      <c r="F3" s="12"/>
      <c r="G3" s="12">
        <v>387</v>
      </c>
      <c r="H3" s="12">
        <v>393</v>
      </c>
      <c r="I3" s="12">
        <v>406</v>
      </c>
      <c r="J3" s="12">
        <v>509</v>
      </c>
      <c r="K3" s="12">
        <v>345</v>
      </c>
      <c r="L3" s="12"/>
      <c r="M3" s="12"/>
      <c r="N3" s="12"/>
      <c r="O3" s="12"/>
      <c r="P3" s="13">
        <f t="shared" ref="P3:P6" si="0">SUM(D3:O3)</f>
        <v>2316</v>
      </c>
      <c r="Q3" s="37">
        <f>SUM(D3:O3)/9</f>
        <v>257.33333333333331</v>
      </c>
    </row>
    <row r="4" spans="1:17" x14ac:dyDescent="0.25">
      <c r="A4" s="17" t="s">
        <v>31</v>
      </c>
      <c r="B4" s="1" t="s">
        <v>96</v>
      </c>
      <c r="C4" s="1" t="s">
        <v>26</v>
      </c>
      <c r="D4" s="12">
        <v>56</v>
      </c>
      <c r="E4" s="12">
        <v>46</v>
      </c>
      <c r="F4" s="12">
        <v>55</v>
      </c>
      <c r="G4" s="12">
        <v>10</v>
      </c>
      <c r="H4" s="12">
        <v>50</v>
      </c>
      <c r="I4" s="12">
        <v>37</v>
      </c>
      <c r="J4" s="41">
        <v>69</v>
      </c>
      <c r="K4" s="12">
        <v>82</v>
      </c>
      <c r="L4" s="12"/>
      <c r="M4" s="12"/>
      <c r="N4" s="12"/>
      <c r="O4" s="12"/>
      <c r="P4" s="13">
        <f t="shared" si="0"/>
        <v>405</v>
      </c>
      <c r="Q4" s="37">
        <f t="shared" ref="Q4:Q6" si="1">SUM(D4:O4)/9</f>
        <v>45</v>
      </c>
    </row>
    <row r="5" spans="1:17" x14ac:dyDescent="0.25">
      <c r="A5" s="17" t="s">
        <v>34</v>
      </c>
      <c r="B5" s="38" t="s">
        <v>95</v>
      </c>
      <c r="C5" s="39" t="s">
        <v>27</v>
      </c>
      <c r="D5" s="12">
        <v>10</v>
      </c>
      <c r="E5" s="12">
        <v>10</v>
      </c>
      <c r="F5" s="3">
        <v>10</v>
      </c>
      <c r="G5" s="12">
        <v>10</v>
      </c>
      <c r="H5" s="12">
        <v>10</v>
      </c>
      <c r="I5" s="12">
        <v>10</v>
      </c>
      <c r="J5" s="12">
        <v>10</v>
      </c>
      <c r="K5" s="12">
        <v>10</v>
      </c>
      <c r="L5" s="41"/>
      <c r="M5" s="12"/>
      <c r="N5" s="12"/>
      <c r="O5" s="12"/>
      <c r="P5" s="13">
        <f t="shared" si="0"/>
        <v>80</v>
      </c>
      <c r="Q5" s="37">
        <f t="shared" si="1"/>
        <v>8.8888888888888893</v>
      </c>
    </row>
    <row r="6" spans="1:17" x14ac:dyDescent="0.25">
      <c r="A6" s="17" t="s">
        <v>32</v>
      </c>
      <c r="B6" s="1" t="s">
        <v>33</v>
      </c>
      <c r="C6" s="1" t="s">
        <v>89</v>
      </c>
      <c r="D6" s="12">
        <v>39</v>
      </c>
      <c r="E6" s="12">
        <v>40</v>
      </c>
      <c r="F6" s="3"/>
      <c r="G6" s="12"/>
      <c r="H6" s="12">
        <v>25</v>
      </c>
      <c r="I6" s="12">
        <v>24</v>
      </c>
      <c r="J6" s="12">
        <v>46</v>
      </c>
      <c r="K6" s="12">
        <v>45</v>
      </c>
      <c r="L6" s="12"/>
      <c r="M6" s="12"/>
      <c r="N6" s="12"/>
      <c r="O6" s="12"/>
      <c r="P6" s="13">
        <f t="shared" si="0"/>
        <v>219</v>
      </c>
      <c r="Q6" s="37">
        <f t="shared" si="1"/>
        <v>24.333333333333332</v>
      </c>
    </row>
    <row r="7" spans="1:17" x14ac:dyDescent="0.25">
      <c r="D7" s="39"/>
      <c r="E7" s="39"/>
      <c r="F7" s="39"/>
      <c r="J7" s="70"/>
    </row>
    <row r="8" spans="1:17" ht="23.25" x14ac:dyDescent="0.35">
      <c r="B8" s="185" t="s">
        <v>29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7" x14ac:dyDescent="0.25">
      <c r="A9" s="9" t="s">
        <v>22</v>
      </c>
      <c r="B9" s="9" t="s">
        <v>23</v>
      </c>
      <c r="C9" s="9" t="s">
        <v>24</v>
      </c>
      <c r="D9" s="6" t="s">
        <v>1</v>
      </c>
      <c r="E9" s="6" t="s">
        <v>2</v>
      </c>
      <c r="F9" s="6" t="s">
        <v>3</v>
      </c>
      <c r="G9" s="6" t="s">
        <v>4</v>
      </c>
      <c r="H9" s="6" t="s">
        <v>5</v>
      </c>
      <c r="I9" s="6" t="s">
        <v>6</v>
      </c>
      <c r="J9" s="6" t="s">
        <v>15</v>
      </c>
      <c r="K9" s="6" t="s">
        <v>16</v>
      </c>
      <c r="L9" s="6" t="s">
        <v>8</v>
      </c>
      <c r="M9" s="6" t="s">
        <v>17</v>
      </c>
      <c r="N9" s="6" t="s">
        <v>18</v>
      </c>
      <c r="O9" s="6" t="s">
        <v>11</v>
      </c>
      <c r="P9" s="7" t="s">
        <v>21</v>
      </c>
      <c r="Q9" s="36" t="s">
        <v>39</v>
      </c>
    </row>
    <row r="10" spans="1:17" x14ac:dyDescent="0.25">
      <c r="A10" s="17" t="s">
        <v>30</v>
      </c>
      <c r="B10" s="10" t="s">
        <v>35</v>
      </c>
      <c r="C10" s="1" t="s">
        <v>25</v>
      </c>
      <c r="D10" s="18">
        <v>5885.3</v>
      </c>
      <c r="E10" s="23">
        <v>106.36</v>
      </c>
      <c r="F10" s="20">
        <v>10577.1</v>
      </c>
      <c r="G10" s="20">
        <v>8750.6</v>
      </c>
      <c r="H10" s="14">
        <v>8748.3799999999992</v>
      </c>
      <c r="I10" s="14">
        <v>9187.6200000000008</v>
      </c>
      <c r="J10" s="14">
        <v>11572.9</v>
      </c>
      <c r="K10" s="23">
        <v>7774.99</v>
      </c>
      <c r="L10" s="18"/>
      <c r="M10" s="18"/>
      <c r="N10" s="40"/>
      <c r="O10" s="18"/>
      <c r="P10" s="158">
        <v>5885.3</v>
      </c>
      <c r="Q10" s="37">
        <f>SUM(D10:O10)/9</f>
        <v>6955.916666666667</v>
      </c>
    </row>
    <row r="11" spans="1:17" x14ac:dyDescent="0.25">
      <c r="A11" s="17" t="s">
        <v>31</v>
      </c>
      <c r="B11" s="10" t="s">
        <v>93</v>
      </c>
      <c r="C11" s="1" t="s">
        <v>26</v>
      </c>
      <c r="D11" s="18">
        <v>1096.5899999999999</v>
      </c>
      <c r="E11" s="18">
        <v>1108.5999999999999</v>
      </c>
      <c r="F11" s="157">
        <v>943.37</v>
      </c>
      <c r="G11" s="20">
        <v>108.57</v>
      </c>
      <c r="H11" s="14">
        <v>923.59</v>
      </c>
      <c r="I11" s="14">
        <v>642.32000000000005</v>
      </c>
      <c r="J11" s="42">
        <v>1383.37</v>
      </c>
      <c r="K11" s="18">
        <v>1684.43</v>
      </c>
      <c r="L11" s="18"/>
      <c r="M11" s="18"/>
      <c r="N11" s="18"/>
      <c r="O11" s="18"/>
      <c r="P11" s="15">
        <f t="shared" ref="P11:P14" si="2">SUM(D11:O11)</f>
        <v>7890.8399999999992</v>
      </c>
      <c r="Q11" s="37">
        <f>SUM(D11:O11)/9</f>
        <v>876.75999999999988</v>
      </c>
    </row>
    <row r="12" spans="1:17" x14ac:dyDescent="0.25">
      <c r="A12" s="17" t="s">
        <v>34</v>
      </c>
      <c r="B12" s="11" t="s">
        <v>94</v>
      </c>
      <c r="C12" s="38" t="s">
        <v>27</v>
      </c>
      <c r="D12" s="18">
        <v>108.77</v>
      </c>
      <c r="E12" s="18">
        <v>106.36</v>
      </c>
      <c r="F12" s="18">
        <v>112.37</v>
      </c>
      <c r="G12" s="131">
        <v>108.57</v>
      </c>
      <c r="H12" s="14">
        <v>106</v>
      </c>
      <c r="I12" s="14">
        <v>108.57</v>
      </c>
      <c r="J12" s="14">
        <v>108.57</v>
      </c>
      <c r="K12" s="18">
        <v>108.57</v>
      </c>
      <c r="L12" s="18"/>
      <c r="M12" s="23"/>
      <c r="N12" s="18"/>
      <c r="O12" s="18"/>
      <c r="P12" s="15">
        <f t="shared" si="2"/>
        <v>867.77999999999975</v>
      </c>
      <c r="Q12" s="37">
        <f t="shared" ref="Q12:Q14" si="3">SUM(D12:O12)/9</f>
        <v>96.419999999999973</v>
      </c>
    </row>
    <row r="13" spans="1:17" x14ac:dyDescent="0.25">
      <c r="A13" s="17" t="s">
        <v>32</v>
      </c>
      <c r="B13" s="10" t="s">
        <v>36</v>
      </c>
      <c r="C13" s="1" t="s">
        <v>89</v>
      </c>
      <c r="D13" s="18">
        <v>813.04</v>
      </c>
      <c r="E13" s="18">
        <v>901.47</v>
      </c>
      <c r="F13" s="18"/>
      <c r="G13" s="131"/>
      <c r="H13" s="14">
        <v>375.06</v>
      </c>
      <c r="I13" s="14">
        <v>363.31</v>
      </c>
      <c r="J13" s="14">
        <v>850.74</v>
      </c>
      <c r="K13" s="18">
        <v>827.58</v>
      </c>
      <c r="L13" s="23"/>
      <c r="M13" s="23"/>
      <c r="N13" s="18"/>
      <c r="O13" s="18"/>
      <c r="P13" s="15">
        <f t="shared" si="2"/>
        <v>4131.2</v>
      </c>
      <c r="Q13" s="37">
        <f t="shared" si="3"/>
        <v>459.02222222222218</v>
      </c>
    </row>
    <row r="14" spans="1:17" x14ac:dyDescent="0.25">
      <c r="C14" s="1" t="s">
        <v>37</v>
      </c>
      <c r="D14" s="19">
        <f t="shared" ref="D14:O14" si="4">SUM(D10:D13)</f>
        <v>7903.7000000000007</v>
      </c>
      <c r="E14" s="19">
        <f>SUM(E10:E13)</f>
        <v>2222.79</v>
      </c>
      <c r="F14" s="19">
        <f>SUM(F10:F13)</f>
        <v>11632.840000000002</v>
      </c>
      <c r="G14" s="21">
        <f t="shared" si="4"/>
        <v>8967.74</v>
      </c>
      <c r="H14" s="8">
        <f t="shared" si="4"/>
        <v>10153.029999999999</v>
      </c>
      <c r="I14" s="25">
        <f t="shared" si="4"/>
        <v>10301.82</v>
      </c>
      <c r="J14" s="25">
        <f>SUM(J10:J13)</f>
        <v>13915.58</v>
      </c>
      <c r="K14" s="25">
        <f>SUM(K10:K13)</f>
        <v>10395.57</v>
      </c>
      <c r="L14" s="8">
        <f t="shared" si="4"/>
        <v>0</v>
      </c>
      <c r="M14" s="8">
        <f t="shared" si="4"/>
        <v>0</v>
      </c>
      <c r="N14" s="8">
        <f t="shared" si="4"/>
        <v>0</v>
      </c>
      <c r="O14" s="8">
        <f t="shared" si="4"/>
        <v>0</v>
      </c>
      <c r="P14" s="8">
        <f t="shared" si="2"/>
        <v>75493.070000000007</v>
      </c>
      <c r="Q14" s="37">
        <f t="shared" si="3"/>
        <v>8388.1188888888901</v>
      </c>
    </row>
    <row r="15" spans="1:17" x14ac:dyDescent="0.25">
      <c r="C15" s="147"/>
      <c r="D15" s="148"/>
      <c r="E15" s="148"/>
      <c r="F15" s="148"/>
      <c r="G15" s="149"/>
      <c r="H15" s="150"/>
      <c r="I15" s="151"/>
      <c r="J15" s="151"/>
      <c r="K15" s="151"/>
      <c r="L15" s="150"/>
      <c r="M15" s="150"/>
      <c r="N15" s="150"/>
      <c r="O15" s="150"/>
      <c r="P15" s="150"/>
      <c r="Q15" s="152"/>
    </row>
    <row r="16" spans="1:17" x14ac:dyDescent="0.25">
      <c r="A16" s="6" t="s">
        <v>105</v>
      </c>
      <c r="B16" s="6" t="s">
        <v>41</v>
      </c>
      <c r="C16" s="6" t="s">
        <v>41</v>
      </c>
      <c r="D16" s="6" t="s">
        <v>22</v>
      </c>
      <c r="E16" s="6" t="s">
        <v>104</v>
      </c>
    </row>
    <row r="17" spans="1:7" x14ac:dyDescent="0.25">
      <c r="A17" s="10" t="s">
        <v>36</v>
      </c>
      <c r="B17" s="153" t="s">
        <v>42</v>
      </c>
      <c r="C17" s="78" t="s">
        <v>112</v>
      </c>
      <c r="D17" s="153" t="s">
        <v>113</v>
      </c>
      <c r="E17" s="155" t="s">
        <v>114</v>
      </c>
    </row>
    <row r="18" spans="1:7" x14ac:dyDescent="0.25">
      <c r="A18" s="10" t="s">
        <v>35</v>
      </c>
      <c r="B18" s="153" t="s">
        <v>43</v>
      </c>
      <c r="C18" s="78" t="s">
        <v>109</v>
      </c>
      <c r="D18" s="153" t="s">
        <v>30</v>
      </c>
      <c r="E18" s="155" t="s">
        <v>111</v>
      </c>
    </row>
    <row r="19" spans="1:7" x14ac:dyDescent="0.25">
      <c r="A19" s="10" t="s">
        <v>93</v>
      </c>
      <c r="B19" s="153" t="s">
        <v>108</v>
      </c>
      <c r="C19" s="156" t="s">
        <v>103</v>
      </c>
      <c r="D19" s="153" t="s">
        <v>31</v>
      </c>
      <c r="E19" s="155" t="s">
        <v>102</v>
      </c>
    </row>
    <row r="20" spans="1:7" x14ac:dyDescent="0.25">
      <c r="A20" s="10" t="s">
        <v>97</v>
      </c>
      <c r="B20" s="153" t="s">
        <v>44</v>
      </c>
      <c r="C20" s="78" t="s">
        <v>110</v>
      </c>
      <c r="D20" s="153" t="s">
        <v>106</v>
      </c>
      <c r="E20" s="154" t="s">
        <v>107</v>
      </c>
      <c r="F20" s="24"/>
    </row>
    <row r="21" spans="1:7" x14ac:dyDescent="0.25">
      <c r="D21" s="24"/>
      <c r="F21" s="24"/>
      <c r="G21" s="24"/>
    </row>
    <row r="22" spans="1:7" x14ac:dyDescent="0.25">
      <c r="F22" s="24"/>
    </row>
  </sheetData>
  <mergeCells count="2">
    <mergeCell ref="B1:P1"/>
    <mergeCell ref="B8:P8"/>
  </mergeCells>
  <pageMargins left="0.511811024" right="0.511811024" top="0.78740157499999996" bottom="0.78740157499999996" header="0.31496062000000002" footer="0.31496062000000002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ANÁLISE CONSUMO</vt:lpstr>
      <vt:lpstr>Planilha1</vt:lpstr>
      <vt:lpstr>ENERGIA 2026- LIVRE (TESTE WEL)</vt:lpstr>
      <vt:lpstr>ENERGIA 2026- LIVRE</vt:lpstr>
      <vt:lpstr>painel</vt:lpstr>
      <vt:lpstr>ÁGUA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Soares</dc:creator>
  <cp:lastModifiedBy>lablicenca08</cp:lastModifiedBy>
  <cp:lastPrinted>2023-10-20T13:20:55Z</cp:lastPrinted>
  <dcterms:created xsi:type="dcterms:W3CDTF">2020-01-10T17:47:31Z</dcterms:created>
  <dcterms:modified xsi:type="dcterms:W3CDTF">2026-09-23T13:18:49Z</dcterms:modified>
</cp:coreProperties>
</file>